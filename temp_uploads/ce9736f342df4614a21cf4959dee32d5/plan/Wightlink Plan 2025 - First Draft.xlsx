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 Activity" sheetId="1" r:id="rId5"/>
    <sheet state="hidden" name="Copy of All Activity" sheetId="2" r:id="rId6"/>
    <sheet state="visible" name="FPD Uplift" sheetId="3" r:id="rId7"/>
    <sheet state="visible" name="Summer Upweight" sheetId="4" r:id="rId8"/>
    <sheet state="visible" name="2025 Actuals" sheetId="5" r:id="rId9"/>
    <sheet state="hidden" name="Copy of 2025 Actuals" sheetId="6" r:id="rId10"/>
    <sheet state="hidden" name="Sheet3" sheetId="7" r:id="rId11"/>
    <sheet state="hidden" name="2024 Actuals" sheetId="8" r:id="rId12"/>
    <sheet state="hidden" name="2023 Actuals" sheetId="9" r:id="rId13"/>
    <sheet state="hidden" name="Management Cost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tc={a10f76ce-ee22-4cfc-9bcf-feb741caa4c5}</author>
  </authors>
  <commentList>
    <comment authorId="0" xr:uid="{a10f76ce-ee22-4cfc-9bcf-feb741caa4c5}" ref="R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@david.williams317@gmail.com
Assigned to david.williams317@gmail.com
Reply:
	I realise now why the comparison looked odd. These numbers are 26 Jan-Feb comparing against what we have planned for 25. I don't think the comparison is correct as we have built in a bigger expectation based on what we have seen this year in terms of CVR and AOV
</t>
      </text>
    </comment>
  </commentList>
</comments>
</file>

<file path=xl/sharedStrings.xml><?xml version="1.0" encoding="utf-8"?>
<sst xmlns="http://schemas.openxmlformats.org/spreadsheetml/2006/main" count="433" uniqueCount="58">
  <si>
    <t>2025/26 Plan</t>
  </si>
  <si>
    <t>PPC Plan Total</t>
  </si>
  <si>
    <t>Actuals Last Year</t>
  </si>
  <si>
    <t>Month</t>
  </si>
  <si>
    <t>Impressions</t>
  </si>
  <si>
    <t>Clicks</t>
  </si>
  <si>
    <t>CTR</t>
  </si>
  <si>
    <t>CPC</t>
  </si>
  <si>
    <t>Cost</t>
  </si>
  <si>
    <t>Sales</t>
  </si>
  <si>
    <t>CVR</t>
  </si>
  <si>
    <t>CPA</t>
  </si>
  <si>
    <t>Revenue</t>
  </si>
  <si>
    <t>AOV</t>
  </si>
  <si>
    <t>Spend Diff</t>
  </si>
  <si>
    <t>Rev Diff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</si>
  <si>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</si>
  <si>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</si>
  <si>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</si>
  <si>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</si>
  <si>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</si>
  <si>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</si>
  <si>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</si>
  <si>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</si>
  <si>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</si>
  <si>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</si>
  <si>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</si>
  <si>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</si>
  <si>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</si>
  <si>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December onwards is just comparing the new plan with last years plan</t>
  </si>
  <si>
    <t>April to Nov compares last years results v this years plan</t>
  </si>
  <si>
    <t>We have given a greater push to this months that are strong</t>
  </si>
  <si>
    <t>The plans takes into account the higher AOVs we have been seeing this year</t>
  </si>
  <si>
    <t>PLAN 2024/25</t>
  </si>
  <si>
    <t>PPC Plan Total ( with impoved CPC and CVR)</t>
  </si>
  <si>
    <t>Previous Plan</t>
  </si>
  <si>
    <t>Spend Difference %</t>
  </si>
  <si>
    <t>Recenue Difference %</t>
  </si>
  <si>
    <t>This  estimate is based on an additional £20,719.84 spend over the 2 months</t>
  </si>
  <si>
    <t>The estimated uplift v the original plan is £91.2k</t>
  </si>
  <si>
    <t>Actuals and Planned 25/26</t>
  </si>
  <si>
    <t>Plan</t>
  </si>
  <si>
    <t>Actual Spend</t>
  </si>
  <si>
    <t>Plan vs Actual</t>
  </si>
  <si>
    <t>Monthly Budget</t>
  </si>
  <si>
    <t>Bing</t>
  </si>
  <si>
    <t>£1,403,232.07</t>
  </si>
  <si>
    <t>£1,636,484.5</t>
  </si>
  <si>
    <t>Actuals and Planned 24/25</t>
  </si>
  <si>
    <t>2023 Actuals</t>
  </si>
  <si>
    <t>Brand</t>
  </si>
  <si>
    <t>Generics</t>
  </si>
  <si>
    <t>P.Max</t>
  </si>
  <si>
    <t>Management Costs</t>
  </si>
  <si>
    <t>Days</t>
  </si>
  <si>
    <t>Day Rate</t>
  </si>
  <si>
    <t>SEO</t>
  </si>
  <si>
    <t>Links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</si>
</sst>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0" fontId="2" numFmtId="164" xfId="0" applyFont="1" applyNumberFormat="1"/>
    <xf borderId="1" fillId="0" fontId="2" numFmtId="0" xfId="0" applyAlignment="1" applyBorder="1" applyFont="1">
      <alignment readingOrder="0"/>
    </xf>
    <xf borderId="1" fillId="0" fontId="2" numFmtId="10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10" xfId="0" applyAlignment="1" applyBorder="1" applyFont="1" applyNumberFormat="1">
      <alignment vertical="bottom"/>
    </xf>
    <xf borderId="1" fillId="0" fontId="1" numFmtId="0" xfId="0" applyAlignment="1" applyBorder="1" applyFont="1">
      <alignment readingOrder="0"/>
    </xf>
    <xf borderId="1" fillId="0" fontId="1" numFmtId="3" xfId="0" applyBorder="1" applyFont="1" applyNumberFormat="1"/>
    <xf borderId="1" fillId="0" fontId="1" numFmtId="3" xfId="0" applyAlignment="1" applyBorder="1" applyFont="1" applyNumberFormat="1">
      <alignment readingOrder="0"/>
    </xf>
    <xf borderId="1" fillId="0" fontId="1" numFmtId="10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4" numFmtId="10" xfId="0" applyAlignment="1" applyBorder="1" applyFont="1" applyNumberFormat="1">
      <alignment horizontal="right" readingOrder="0" vertical="bottom"/>
    </xf>
    <xf borderId="1" fillId="0" fontId="1" numFmtId="164" xfId="0" applyBorder="1" applyFont="1" applyNumberFormat="1"/>
    <xf borderId="1" fillId="0" fontId="4" numFmtId="164" xfId="0" applyAlignment="1" applyBorder="1" applyFont="1" applyNumberFormat="1">
      <alignment horizontal="right" readingOrder="0" vertical="bottom"/>
    </xf>
    <xf borderId="1" fillId="0" fontId="4" numFmtId="3" xfId="0" applyAlignment="1" applyBorder="1" applyFont="1" applyNumberFormat="1">
      <alignment horizontal="right" readingOrder="0" vertical="bottom"/>
    </xf>
    <xf borderId="0" fillId="0" fontId="1" numFmtId="10" xfId="0" applyFont="1" applyNumberFormat="1"/>
    <xf borderId="1" fillId="0" fontId="1" numFmtId="10" xfId="0" applyBorder="1" applyFont="1" applyNumberFormat="1"/>
    <xf borderId="1" fillId="0" fontId="4" numFmtId="3" xfId="0" applyAlignment="1" applyBorder="1" applyFont="1" applyNumberFormat="1">
      <alignment horizontal="right" vertical="bottom"/>
    </xf>
    <xf borderId="1" fillId="0" fontId="4" numFmtId="10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0" fillId="2" fontId="1" numFmtId="0" xfId="0" applyFill="1" applyFont="1"/>
    <xf borderId="1" fillId="3" fontId="4" numFmtId="164" xfId="0" applyAlignment="1" applyBorder="1" applyFill="1" applyFont="1" applyNumberFormat="1">
      <alignment horizontal="right" readingOrder="0" vertical="bottom"/>
    </xf>
    <xf borderId="1" fillId="3" fontId="4" numFmtId="3" xfId="0" applyAlignment="1" applyBorder="1" applyFont="1" applyNumberFormat="1">
      <alignment horizontal="right" readingOrder="0" vertical="bottom"/>
    </xf>
    <xf borderId="1" fillId="3" fontId="4" numFmtId="10" xfId="0" applyAlignment="1" applyBorder="1" applyFont="1" applyNumberFormat="1">
      <alignment horizontal="right" readingOrder="0" vertical="bottom"/>
    </xf>
    <xf borderId="0" fillId="3" fontId="1" numFmtId="0" xfId="0" applyAlignment="1" applyFont="1">
      <alignment readingOrder="0"/>
    </xf>
    <xf borderId="0" fillId="3" fontId="1" numFmtId="0" xfId="0" applyFont="1"/>
    <xf borderId="1" fillId="0" fontId="2" numFmtId="3" xfId="0" applyBorder="1" applyFont="1" applyNumberFormat="1"/>
    <xf borderId="1" fillId="0" fontId="2" numFmtId="10" xfId="0" applyBorder="1" applyFont="1" applyNumberFormat="1"/>
    <xf borderId="1" fillId="0" fontId="2" numFmtId="164" xfId="0" applyBorder="1" applyFont="1" applyNumberFormat="1"/>
    <xf borderId="1" fillId="0" fontId="3" numFmtId="164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horizontal="right" vertical="bottom"/>
    </xf>
    <xf borderId="1" fillId="4" fontId="4" numFmtId="164" xfId="0" applyAlignment="1" applyBorder="1" applyFill="1" applyFont="1" applyNumberFormat="1">
      <alignment horizontal="right" readingOrder="0" vertical="bottom"/>
    </xf>
    <xf borderId="1" fillId="4" fontId="4" numFmtId="3" xfId="0" applyAlignment="1" applyBorder="1" applyFont="1" applyNumberFormat="1">
      <alignment horizontal="right" vertical="bottom"/>
    </xf>
    <xf borderId="1" fillId="4" fontId="4" numFmtId="10" xfId="0" applyAlignment="1" applyBorder="1" applyFont="1" applyNumberFormat="1">
      <alignment horizontal="right" vertical="bottom"/>
    </xf>
    <xf borderId="1" fillId="4" fontId="4" numFmtId="164" xfId="0" applyAlignment="1" applyBorder="1" applyFont="1" applyNumberFormat="1">
      <alignment horizontal="right" vertical="bottom"/>
    </xf>
    <xf borderId="0" fillId="4" fontId="1" numFmtId="0" xfId="0" applyAlignment="1" applyFont="1">
      <alignment readingOrder="0"/>
    </xf>
    <xf borderId="1" fillId="5" fontId="2" numFmtId="0" xfId="0" applyAlignment="1" applyBorder="1" applyFill="1" applyFont="1">
      <alignment readingOrder="0"/>
    </xf>
    <xf borderId="1" fillId="5" fontId="2" numFmtId="10" xfId="0" applyAlignment="1" applyBorder="1" applyFont="1" applyNumberFormat="1">
      <alignment readingOrder="0"/>
    </xf>
    <xf borderId="1" fillId="5" fontId="2" numFmtId="164" xfId="0" applyAlignment="1" applyBorder="1" applyFont="1" applyNumberFormat="1">
      <alignment readingOrder="0"/>
    </xf>
    <xf borderId="1" fillId="5" fontId="1" numFmtId="0" xfId="0" applyAlignment="1" applyBorder="1" applyFont="1">
      <alignment readingOrder="0"/>
    </xf>
    <xf borderId="1" fillId="5" fontId="1" numFmtId="3" xfId="0" applyBorder="1" applyFont="1" applyNumberFormat="1"/>
    <xf borderId="1" fillId="5" fontId="1" numFmtId="3" xfId="0" applyAlignment="1" applyBorder="1" applyFont="1" applyNumberFormat="1">
      <alignment readingOrder="0"/>
    </xf>
    <xf borderId="1" fillId="5" fontId="1" numFmtId="10" xfId="0" applyAlignment="1" applyBorder="1" applyFont="1" applyNumberFormat="1">
      <alignment readingOrder="0"/>
    </xf>
    <xf borderId="1" fillId="5" fontId="1" numFmtId="164" xfId="0" applyAlignment="1" applyBorder="1" applyFont="1" applyNumberFormat="1">
      <alignment readingOrder="0"/>
    </xf>
    <xf borderId="1" fillId="5" fontId="4" numFmtId="10" xfId="0" applyAlignment="1" applyBorder="1" applyFont="1" applyNumberFormat="1">
      <alignment horizontal="right" readingOrder="0" vertical="bottom"/>
    </xf>
    <xf borderId="1" fillId="5" fontId="1" numFmtId="164" xfId="0" applyBorder="1" applyFont="1" applyNumberFormat="1"/>
    <xf borderId="0" fillId="6" fontId="1" numFmtId="0" xfId="0" applyAlignment="1" applyFill="1" applyFont="1">
      <alignment readingOrder="0"/>
    </xf>
    <xf borderId="1" fillId="6" fontId="1" numFmtId="0" xfId="0" applyAlignment="1" applyBorder="1" applyFont="1">
      <alignment readingOrder="0"/>
    </xf>
    <xf borderId="1" fillId="6" fontId="1" numFmtId="3" xfId="0" applyBorder="1" applyFont="1" applyNumberFormat="1"/>
    <xf borderId="1" fillId="6" fontId="1" numFmtId="3" xfId="0" applyAlignment="1" applyBorder="1" applyFont="1" applyNumberFormat="1">
      <alignment readingOrder="0"/>
    </xf>
    <xf borderId="1" fillId="6" fontId="1" numFmtId="10" xfId="0" applyAlignment="1" applyBorder="1" applyFont="1" applyNumberFormat="1">
      <alignment readingOrder="0"/>
    </xf>
    <xf borderId="1" fillId="6" fontId="1" numFmtId="164" xfId="0" applyAlignment="1" applyBorder="1" applyFont="1" applyNumberFormat="1">
      <alignment readingOrder="0"/>
    </xf>
    <xf borderId="1" fillId="6" fontId="4" numFmtId="10" xfId="0" applyAlignment="1" applyBorder="1" applyFont="1" applyNumberFormat="1">
      <alignment horizontal="right" readingOrder="0" vertical="bottom"/>
    </xf>
    <xf borderId="1" fillId="6" fontId="1" numFmtId="164" xfId="0" applyBorder="1" applyFont="1" applyNumberFormat="1"/>
    <xf borderId="0" fillId="6" fontId="1" numFmtId="0" xfId="0" applyFont="1"/>
    <xf borderId="0" fillId="6" fontId="1" numFmtId="10" xfId="0" applyFont="1" applyNumberFormat="1"/>
    <xf borderId="1" fillId="5" fontId="1" numFmtId="10" xfId="0" applyBorder="1" applyFont="1" applyNumberFormat="1"/>
    <xf borderId="1" fillId="5" fontId="4" numFmtId="10" xfId="0" applyAlignment="1" applyBorder="1" applyFont="1" applyNumberFormat="1">
      <alignment horizontal="right" vertical="bottom"/>
    </xf>
    <xf borderId="1" fillId="5" fontId="2" numFmtId="3" xfId="0" applyBorder="1" applyFont="1" applyNumberFormat="1"/>
    <xf borderId="1" fillId="5" fontId="2" numFmtId="10" xfId="0" applyBorder="1" applyFont="1" applyNumberFormat="1"/>
    <xf borderId="1" fillId="5" fontId="2" numFmtId="164" xfId="0" applyBorder="1" applyFont="1" applyNumberFormat="1"/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right" readingOrder="0"/>
    </xf>
    <xf borderId="1" fillId="7" fontId="1" numFmtId="3" xfId="0" applyAlignment="1" applyBorder="1" applyFill="1" applyFont="1" applyNumberFormat="1">
      <alignment readingOrder="0"/>
    </xf>
    <xf borderId="1" fillId="7" fontId="1" numFmtId="10" xfId="0" applyAlignment="1" applyBorder="1" applyFont="1" applyNumberFormat="1">
      <alignment readingOrder="0"/>
    </xf>
    <xf borderId="1" fillId="7" fontId="1" numFmtId="164" xfId="0" applyAlignment="1" applyBorder="1" applyFont="1" applyNumberFormat="1">
      <alignment readingOrder="0"/>
    </xf>
    <xf borderId="1" fillId="7" fontId="1" numFmtId="3" xfId="0" applyBorder="1" applyFont="1" applyNumberFormat="1"/>
    <xf borderId="1" fillId="7" fontId="4" numFmtId="10" xfId="0" applyAlignment="1" applyBorder="1" applyFont="1" applyNumberFormat="1">
      <alignment horizontal="right" readingOrder="0" vertical="bottom"/>
    </xf>
    <xf borderId="0" fillId="0" fontId="1" numFmtId="4" xfId="0" applyFont="1" applyNumberFormat="1"/>
    <xf borderId="1" fillId="0" fontId="1" numFmtId="4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2" fillId="0" fontId="1" numFmtId="0" xfId="0" applyAlignment="1" applyBorder="1" applyFont="1">
      <alignment readingOrder="0"/>
    </xf>
    <xf borderId="2" fillId="0" fontId="1" numFmtId="3" xfId="0" applyAlignment="1" applyBorder="1" applyFont="1" applyNumberFormat="1">
      <alignment readingOrder="0"/>
    </xf>
    <xf borderId="2" fillId="0" fontId="1" numFmtId="10" xfId="0" applyAlignment="1" applyBorder="1" applyFont="1" applyNumberForma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3" xfId="0" applyBorder="1" applyFont="1" applyNumberFormat="1"/>
    <xf borderId="2" fillId="0" fontId="4" numFmtId="10" xfId="0" applyAlignment="1" applyBorder="1" applyFont="1" applyNumberFormat="1">
      <alignment horizontal="right" readingOrder="0" vertical="bottom"/>
    </xf>
    <xf borderId="2" fillId="0" fontId="1" numFmtId="164" xfId="0" applyBorder="1" applyFont="1" applyNumberFormat="1"/>
    <xf borderId="1" fillId="6" fontId="1" numFmtId="10" xfId="0" applyBorder="1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10" xfId="0" applyAlignment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vertical="bottom"/>
    </xf>
    <xf borderId="3" fillId="0" fontId="4" numFmtId="3" xfId="0" applyAlignment="1" applyBorder="1" applyFont="1" applyNumberFormat="1">
      <alignment vertical="bottom"/>
    </xf>
    <xf borderId="3" fillId="0" fontId="4" numFmtId="10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vertical="bottom"/>
    </xf>
    <xf borderId="1" fillId="3" fontId="4" numFmtId="0" xfId="0" applyAlignment="1" applyBorder="1" applyFont="1">
      <alignment horizontal="right" vertical="bottom"/>
    </xf>
    <xf borderId="1" fillId="2" fontId="4" numFmtId="0" xfId="0" applyAlignment="1" applyBorder="1" applyFont="1">
      <alignment vertical="bottom"/>
    </xf>
    <xf borderId="1" fillId="2" fontId="4" numFmtId="3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horizontal="right" vertical="bottom"/>
    </xf>
    <xf borderId="1" fillId="2" fontId="4" numFmtId="10" xfId="0" applyAlignment="1" applyBorder="1" applyFont="1" applyNumberFormat="1">
      <alignment horizontal="right" vertical="bottom"/>
    </xf>
    <xf borderId="1" fillId="2" fontId="4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932f17b6-0571-4d0f-880e-e35025bacadd}">
    <Anchor>
      <Comment id="{a10f76ce-ee22-4cfc-9bcf-feb741caa4c5}"/>
    </Anchor>
    <History>
      <Event time="2024-12-11T14:56:50.00" id="{3676c580-4e4f-4f66-b21d-7e77de54a42f}">
        <Attribution userId="placeholder@email.com" userName="Paul Henderson" userProvider="google-sheets"/>
        <Anchor>
          <Comment id="{a10f76ce-ee22-4cfc-9bcf-feb741caa4c5}"/>
        </Anchor>
        <Create/>
      </Event>
      <Event time="2024-12-11T14:56:50.00" id="{e3396bd9-db83-4d45-bb06-8aa7e9e077bc}">
        <Attribution userId="placeholder@email.com" userName="Paul Henderson" userProvider="google-sheets"/>
        <Anchor>
          <Comment id="{a10f76ce-ee22-4cfc-9bcf-feb741caa4c5}"/>
        </Anchor>
        <Assign userId="david.williams317@gmail.com" userName="david.williams317@gmail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2887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0</xdr:row>
      <xdr:rowOff>0</xdr:rowOff>
    </xdr:from>
    <xdr:ext cx="187642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2887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0</xdr:row>
      <xdr:rowOff>0</xdr:rowOff>
    </xdr:from>
    <xdr:ext cx="187642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2887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0</xdr:row>
      <xdr:rowOff>0</xdr:rowOff>
    </xdr:from>
    <xdr:ext cx="187642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2887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0</xdr:row>
      <xdr:rowOff>0</xdr:rowOff>
    </xdr:from>
    <xdr:ext cx="187642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2887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0</xdr:row>
      <xdr:rowOff>0</xdr:rowOff>
    </xdr:from>
    <xdr:ext cx="187642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2887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0</xdr:row>
      <xdr:rowOff>0</xdr:rowOff>
    </xdr:from>
    <xdr:ext cx="187642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2887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0</xdr:row>
      <xdr:rowOff>0</xdr:rowOff>
    </xdr:from>
    <xdr:ext cx="187642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43175" cy="581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933450</xdr:colOff>
      <xdr:row>0</xdr:row>
      <xdr:rowOff>0</xdr:rowOff>
    </xdr:from>
    <xdr:ext cx="1952625" cy="5810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2887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0</xdr:row>
      <xdr:rowOff>0</xdr:rowOff>
    </xdr:from>
    <xdr:ext cx="187642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aul Henderson" id="{3426cb35-6df8-46ee-8c8a-68a371c4b4b9}" providerId="google-sheets"/>
  <x18tc:person displayName="david.williams317@gmail.com" id="{854c9f03-a115-4a2c-86c7-5ed3c6a6b3fc}" userId="david.williams317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19" dT="2024-12-11T14:56:50.00" personId="{3426cb35-6df8-46ee-8c8a-68a371c4b4b9}" id="{a10f76ce-ee22-4cfc-9bcf-feb741caa4c5}" done="1">
    <x18tc:text xml:space="preserve">@david.williams317@gmail.com
Assigned to david.williams317@gmail.com</x18tc:text>
    <x18tc:mentions>
      <x18tc:mention mentionpersonId="{854c9f03-a115-4a2c-86c7-5ed3c6a6b3fc}" mentionId="{e1cc4de4-436d-4678-9e22-c270c4415693}" startIndex="0" length="28"/>
    </x18tc:mentions>
  </x18tc:threadedComment>
  <x18tc:threadedComment ref="R19" dT="2024-12-11T14:58:40.00" personId="{3426cb35-6df8-46ee-8c8a-68a371c4b4b9}" id="{1b67cf67-22a7-4b9c-8d3c-41a35ead6d8c}" parentId="{a10f76ce-ee22-4cfc-9bcf-feb741caa4c5}">
    <x18tc:text xml:space="preserve">I realise now why the comparison looked odd. These numbers are 26 Jan-Feb comparing against what we have planned for 25. I don't think the comparison is correct as we have built in a bigger expectation based on what we have seen this year in terms of CVR and AOV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/>
      <c r="E1" s="2"/>
      <c r="F1" s="2"/>
    </row>
    <row r="2">
      <c r="C2" s="1"/>
      <c r="E2" s="2"/>
      <c r="F2" s="2"/>
    </row>
    <row r="3">
      <c r="C3" s="1"/>
      <c r="E3" s="2"/>
      <c r="F3" s="2"/>
    </row>
    <row r="4">
      <c r="C4" s="1"/>
      <c r="E4" s="2"/>
      <c r="F4" s="2"/>
    </row>
    <row r="5">
      <c r="C5" s="1"/>
      <c r="E5" s="2"/>
      <c r="F5" s="2"/>
    </row>
    <row r="6">
      <c r="A6" s="3" t="s">
        <v>0</v>
      </c>
      <c r="C6" s="1"/>
      <c r="E6" s="2"/>
      <c r="F6" s="2"/>
    </row>
    <row r="7">
      <c r="C7" s="1"/>
      <c r="E7" s="2"/>
      <c r="F7" s="2"/>
    </row>
    <row r="8">
      <c r="C8" s="1"/>
      <c r="E8" s="2"/>
      <c r="F8" s="2"/>
    </row>
    <row r="9">
      <c r="A9" s="4" t="s">
        <v>1</v>
      </c>
      <c r="B9" s="5"/>
      <c r="C9" s="5"/>
      <c r="D9" s="6"/>
      <c r="E9" s="7"/>
      <c r="F9" s="7"/>
      <c r="G9" s="5"/>
      <c r="H9" s="5"/>
      <c r="I9" s="5"/>
      <c r="J9" s="7"/>
      <c r="K9" s="5"/>
      <c r="M9" s="4" t="s">
        <v>2</v>
      </c>
    </row>
    <row r="10">
      <c r="A10" s="8" t="s">
        <v>3</v>
      </c>
      <c r="B10" s="8" t="s">
        <v>4</v>
      </c>
      <c r="C10" s="8" t="s">
        <v>5</v>
      </c>
      <c r="D10" s="9" t="s">
        <v>6</v>
      </c>
      <c r="E10" s="10" t="s">
        <v>7</v>
      </c>
      <c r="F10" s="10" t="s">
        <v>8</v>
      </c>
      <c r="G10" s="8" t="s">
        <v>9</v>
      </c>
      <c r="H10" s="8" t="s">
        <v>10</v>
      </c>
      <c r="I10" s="8" t="s">
        <v>11</v>
      </c>
      <c r="J10" s="10" t="s">
        <v>12</v>
      </c>
      <c r="K10" s="8" t="s">
        <v>13</v>
      </c>
      <c r="M10" s="11" t="s">
        <v>8</v>
      </c>
      <c r="N10" s="12" t="s">
        <v>9</v>
      </c>
      <c r="O10" s="13" t="s">
        <v>10</v>
      </c>
      <c r="P10" s="11" t="s">
        <v>11</v>
      </c>
      <c r="Q10" s="11" t="s">
        <v>12</v>
      </c>
      <c r="S10" s="3" t="s">
        <v>14</v>
      </c>
      <c r="T10" s="3" t="s">
        <v>15</v>
      </c>
    </row>
    <row r="11">
      <c r="A11" s="14" t="s">
        <v>16</v>
      </c>
      <c r="B11" s="15">
        <v>345336.02999999997</v>
      </c>
      <c r="C11" s="16">
        <f t="shared" ref="C11:C22" si="1">B11*D11</f>
        <v>130916.889</v>
      </c>
      <c r="D11" s="17">
        <v>0.3791</v>
      </c>
      <c r="E11" s="18">
        <v>0.19</v>
      </c>
      <c r="F11" s="18">
        <f t="shared" ref="F11:F22" si="2">C11*E11</f>
        <v>24874.2089</v>
      </c>
      <c r="G11" s="15">
        <f t="shared" ref="G11:G22" si="3">C11*H11</f>
        <v>10892.28516</v>
      </c>
      <c r="H11" s="19">
        <v>0.0832</v>
      </c>
      <c r="I11" s="20">
        <f t="shared" ref="I11:I23" si="4">F11/G11</f>
        <v>2.283653846</v>
      </c>
      <c r="J11" s="20">
        <f t="shared" ref="J11:J22" si="5">G11*K11</f>
        <v>1223203.624</v>
      </c>
      <c r="K11" s="18">
        <v>112.3</v>
      </c>
      <c r="M11" s="21">
        <v>23858.0</v>
      </c>
      <c r="N11" s="22">
        <v>10370.0</v>
      </c>
      <c r="O11" s="19">
        <v>0.0832</v>
      </c>
      <c r="P11" s="21">
        <v>2.3</v>
      </c>
      <c r="Q11" s="21">
        <v>1164558.0</v>
      </c>
      <c r="S11" s="23">
        <f t="shared" ref="S11:S23" si="6">F11/M11-1</f>
        <v>0.04259405251</v>
      </c>
      <c r="T11" s="23">
        <f t="shared" ref="T11:T23" si="7">J11/Q11-1</f>
        <v>0.05035869725</v>
      </c>
    </row>
    <row r="12">
      <c r="A12" s="14" t="s">
        <v>17</v>
      </c>
      <c r="B12" s="15">
        <v>403198.74</v>
      </c>
      <c r="C12" s="16">
        <f t="shared" si="1"/>
        <v>136321.494</v>
      </c>
      <c r="D12" s="17">
        <v>0.3381</v>
      </c>
      <c r="E12" s="18">
        <v>0.22</v>
      </c>
      <c r="F12" s="18">
        <f t="shared" si="2"/>
        <v>29990.72868</v>
      </c>
      <c r="G12" s="15">
        <f t="shared" si="3"/>
        <v>11682.75204</v>
      </c>
      <c r="H12" s="19">
        <v>0.0857</v>
      </c>
      <c r="I12" s="20">
        <f t="shared" si="4"/>
        <v>2.567094516</v>
      </c>
      <c r="J12" s="20">
        <f t="shared" si="5"/>
        <v>1304612.92</v>
      </c>
      <c r="K12" s="18">
        <v>111.67</v>
      </c>
      <c r="M12" s="21">
        <v>28350.0</v>
      </c>
      <c r="N12" s="22">
        <v>10986.0</v>
      </c>
      <c r="O12" s="19">
        <v>0.0857</v>
      </c>
      <c r="P12" s="21">
        <v>2.58</v>
      </c>
      <c r="Q12" s="21">
        <v>1226831.0</v>
      </c>
      <c r="S12" s="23">
        <f t="shared" si="6"/>
        <v>0.05787402747</v>
      </c>
      <c r="T12" s="23">
        <f t="shared" si="7"/>
        <v>0.06340068011</v>
      </c>
    </row>
    <row r="13">
      <c r="A13" s="14" t="s">
        <v>18</v>
      </c>
      <c r="B13" s="15">
        <v>440750.61</v>
      </c>
      <c r="C13" s="16">
        <f t="shared" si="1"/>
        <v>140202.769</v>
      </c>
      <c r="D13" s="17">
        <v>0.3181</v>
      </c>
      <c r="E13" s="18">
        <v>0.18</v>
      </c>
      <c r="F13" s="18">
        <f t="shared" si="2"/>
        <v>25236.49843</v>
      </c>
      <c r="G13" s="15">
        <f t="shared" si="3"/>
        <v>11286.32291</v>
      </c>
      <c r="H13" s="19">
        <v>0.0805</v>
      </c>
      <c r="I13" s="20">
        <f t="shared" si="4"/>
        <v>2.236024845</v>
      </c>
      <c r="J13" s="20">
        <f t="shared" si="5"/>
        <v>1216327.02</v>
      </c>
      <c r="K13" s="18">
        <v>107.77</v>
      </c>
      <c r="M13" s="21">
        <v>23542.0</v>
      </c>
      <c r="N13" s="22">
        <v>10631.0</v>
      </c>
      <c r="O13" s="19">
        <v>0.0805</v>
      </c>
      <c r="P13" s="21">
        <v>2.21</v>
      </c>
      <c r="Q13" s="21">
        <v>1145698.0</v>
      </c>
      <c r="S13" s="23">
        <f t="shared" si="6"/>
        <v>0.07197767511</v>
      </c>
      <c r="T13" s="23">
        <f t="shared" si="7"/>
        <v>0.06164715289</v>
      </c>
    </row>
    <row r="14">
      <c r="A14" s="14" t="s">
        <v>19</v>
      </c>
      <c r="B14" s="15">
        <v>472867.69499999995</v>
      </c>
      <c r="C14" s="16">
        <f t="shared" si="1"/>
        <v>139543.2568</v>
      </c>
      <c r="D14" s="17">
        <v>0.2951</v>
      </c>
      <c r="E14" s="18">
        <v>0.19</v>
      </c>
      <c r="F14" s="18">
        <f t="shared" si="2"/>
        <v>26513.21879</v>
      </c>
      <c r="G14" s="15">
        <f t="shared" si="3"/>
        <v>11679.77059</v>
      </c>
      <c r="H14" s="19">
        <v>0.0837</v>
      </c>
      <c r="I14" s="20">
        <f t="shared" si="4"/>
        <v>2.270011947</v>
      </c>
      <c r="J14" s="20">
        <f t="shared" si="5"/>
        <v>1320631.661</v>
      </c>
      <c r="K14" s="18">
        <v>113.07</v>
      </c>
      <c r="M14" s="21">
        <v>25567.0</v>
      </c>
      <c r="N14" s="22">
        <v>11111.0</v>
      </c>
      <c r="O14" s="19">
        <v>0.0837</v>
      </c>
      <c r="P14" s="21">
        <v>2.3</v>
      </c>
      <c r="Q14" s="21">
        <v>1256276.0</v>
      </c>
      <c r="S14" s="23">
        <f t="shared" si="6"/>
        <v>0.03700937892</v>
      </c>
      <c r="T14" s="23">
        <f t="shared" si="7"/>
        <v>0.05122732666</v>
      </c>
    </row>
    <row r="15">
      <c r="A15" s="14" t="s">
        <v>20</v>
      </c>
      <c r="B15" s="15">
        <v>530349.5249999999</v>
      </c>
      <c r="C15" s="16">
        <f t="shared" si="1"/>
        <v>158521.473</v>
      </c>
      <c r="D15" s="17">
        <v>0.2989</v>
      </c>
      <c r="E15" s="18">
        <v>0.18</v>
      </c>
      <c r="F15" s="18">
        <f t="shared" si="2"/>
        <v>28533.86514</v>
      </c>
      <c r="G15" s="15">
        <f t="shared" si="3"/>
        <v>12079.33624</v>
      </c>
      <c r="H15" s="19">
        <v>0.0762</v>
      </c>
      <c r="I15" s="20">
        <f t="shared" si="4"/>
        <v>2.362204724</v>
      </c>
      <c r="J15" s="20">
        <f t="shared" si="5"/>
        <v>1256130.176</v>
      </c>
      <c r="K15" s="18">
        <v>103.99</v>
      </c>
      <c r="M15" s="21">
        <v>27441.0</v>
      </c>
      <c r="N15" s="22">
        <v>11673.0</v>
      </c>
      <c r="O15" s="19">
        <v>0.0762</v>
      </c>
      <c r="P15" s="21">
        <v>2.35</v>
      </c>
      <c r="Q15" s="21">
        <v>1213862.0</v>
      </c>
      <c r="S15" s="23">
        <f t="shared" si="6"/>
        <v>0.03982599556</v>
      </c>
      <c r="T15" s="23">
        <f t="shared" si="7"/>
        <v>0.03482123672</v>
      </c>
    </row>
    <row r="16">
      <c r="A16" s="14" t="s">
        <v>21</v>
      </c>
      <c r="B16" s="15">
        <v>400662.99</v>
      </c>
      <c r="C16" s="16">
        <f t="shared" si="1"/>
        <v>116673.0627</v>
      </c>
      <c r="D16" s="17">
        <v>0.2912</v>
      </c>
      <c r="E16" s="18">
        <v>0.19</v>
      </c>
      <c r="F16" s="18">
        <f t="shared" si="2"/>
        <v>22167.88191</v>
      </c>
      <c r="G16" s="15">
        <f t="shared" si="3"/>
        <v>10395.56989</v>
      </c>
      <c r="H16" s="19">
        <v>0.0891</v>
      </c>
      <c r="I16" s="20">
        <f t="shared" si="4"/>
        <v>2.132435466</v>
      </c>
      <c r="J16" s="20">
        <f t="shared" si="5"/>
        <v>1072199.078</v>
      </c>
      <c r="K16" s="18">
        <v>103.14</v>
      </c>
      <c r="M16" s="21">
        <v>21894.0</v>
      </c>
      <c r="N16" s="22">
        <v>10043.0</v>
      </c>
      <c r="O16" s="19">
        <v>0.0891</v>
      </c>
      <c r="P16" s="21">
        <v>2.18</v>
      </c>
      <c r="Q16" s="21">
        <v>1035826.0</v>
      </c>
      <c r="S16" s="23">
        <f t="shared" si="6"/>
        <v>0.01250945057</v>
      </c>
      <c r="T16" s="23">
        <f t="shared" si="7"/>
        <v>0.03511504634</v>
      </c>
    </row>
    <row r="17">
      <c r="A17" s="14" t="s">
        <v>22</v>
      </c>
      <c r="B17" s="15">
        <v>244129.58999999997</v>
      </c>
      <c r="C17" s="16">
        <f t="shared" si="1"/>
        <v>106651.3037</v>
      </c>
      <c r="D17" s="24">
        <v>0.436863485809662</v>
      </c>
      <c r="E17" s="20">
        <v>0.11539569336701307</v>
      </c>
      <c r="F17" s="18">
        <f t="shared" si="2"/>
        <v>12307.10114</v>
      </c>
      <c r="G17" s="15">
        <f t="shared" si="3"/>
        <v>10899.76324</v>
      </c>
      <c r="H17" s="19">
        <v>0.1022</v>
      </c>
      <c r="I17" s="20">
        <f t="shared" si="4"/>
        <v>1.129116373</v>
      </c>
      <c r="J17" s="20">
        <f t="shared" si="5"/>
        <v>1102789.301</v>
      </c>
      <c r="K17" s="20">
        <v>101.17552801657281</v>
      </c>
      <c r="M17" s="21">
        <v>10591.099999999999</v>
      </c>
      <c r="N17" s="25">
        <v>10082.977143267057</v>
      </c>
      <c r="O17" s="26">
        <v>0.10985942335083673</v>
      </c>
      <c r="P17" s="27">
        <v>1.0503941295822774</v>
      </c>
      <c r="Q17" s="27">
        <v>971571.9394753136</v>
      </c>
      <c r="S17" s="23">
        <f t="shared" si="6"/>
        <v>0.1620229378</v>
      </c>
      <c r="T17" s="23">
        <f t="shared" si="7"/>
        <v>0.135056763</v>
      </c>
      <c r="U17" s="28"/>
      <c r="V17" s="28"/>
    </row>
    <row r="18">
      <c r="A18" s="14" t="s">
        <v>23</v>
      </c>
      <c r="B18" s="15">
        <v>225099.04499999998</v>
      </c>
      <c r="C18" s="16">
        <f t="shared" si="1"/>
        <v>103301.6188</v>
      </c>
      <c r="D18" s="24">
        <v>0.4589162910342079</v>
      </c>
      <c r="E18" s="20">
        <v>0.11965378944674579</v>
      </c>
      <c r="F18" s="18">
        <f t="shared" si="2"/>
        <v>12360.43015</v>
      </c>
      <c r="G18" s="15">
        <f t="shared" si="3"/>
        <v>10846.66998</v>
      </c>
      <c r="H18" s="19">
        <v>0.105</v>
      </c>
      <c r="I18" s="20">
        <f t="shared" si="4"/>
        <v>1.139559899</v>
      </c>
      <c r="J18" s="20">
        <f t="shared" si="5"/>
        <v>1106429.416</v>
      </c>
      <c r="K18" s="20">
        <v>102.0063686499176</v>
      </c>
      <c r="M18" s="21">
        <v>7800.7</v>
      </c>
      <c r="N18" s="25">
        <v>9125.026643298488</v>
      </c>
      <c r="O18" s="26">
        <v>0.13996744095698885</v>
      </c>
      <c r="P18" s="27">
        <v>0.8548687368194057</v>
      </c>
      <c r="Q18" s="27">
        <v>886486.5063967864</v>
      </c>
      <c r="S18" s="23">
        <f t="shared" si="6"/>
        <v>0.5845283309</v>
      </c>
      <c r="T18" s="23">
        <f t="shared" si="7"/>
        <v>0.2481063259</v>
      </c>
      <c r="U18" s="28"/>
      <c r="V18" s="28"/>
    </row>
    <row r="19">
      <c r="A19" s="14" t="s">
        <v>24</v>
      </c>
      <c r="B19" s="15">
        <v>184952.43</v>
      </c>
      <c r="C19" s="16">
        <f t="shared" si="1"/>
        <v>83842.0276</v>
      </c>
      <c r="D19" s="24">
        <v>0.45331671281760233</v>
      </c>
      <c r="E19" s="20">
        <v>0.1239114905018328</v>
      </c>
      <c r="F19" s="18">
        <f t="shared" si="2"/>
        <v>10388.99061</v>
      </c>
      <c r="G19" s="15">
        <f t="shared" si="3"/>
        <v>8803.412897</v>
      </c>
      <c r="H19" s="19">
        <v>0.105</v>
      </c>
      <c r="I19" s="20">
        <f t="shared" si="4"/>
        <v>1.180109433</v>
      </c>
      <c r="J19" s="20">
        <f t="shared" si="5"/>
        <v>843170.8266</v>
      </c>
      <c r="K19" s="20">
        <v>95.77772125650696</v>
      </c>
      <c r="M19" s="29">
        <v>6374.89</v>
      </c>
      <c r="N19" s="30">
        <v>8080.0</v>
      </c>
      <c r="O19" s="31">
        <v>0.1263</v>
      </c>
      <c r="P19" s="29">
        <v>0.79</v>
      </c>
      <c r="Q19" s="29">
        <v>577337.43</v>
      </c>
      <c r="R19" s="32"/>
      <c r="S19" s="23">
        <f t="shared" si="6"/>
        <v>0.6296737051</v>
      </c>
      <c r="T19" s="23">
        <f t="shared" si="7"/>
        <v>0.4604471887</v>
      </c>
      <c r="U19" s="28"/>
      <c r="V19" s="28"/>
    </row>
    <row r="20">
      <c r="A20" s="14" t="s">
        <v>25</v>
      </c>
      <c r="B20" s="15">
        <v>241872.32998420784</v>
      </c>
      <c r="C20" s="16">
        <f t="shared" si="1"/>
        <v>90311.46529</v>
      </c>
      <c r="D20" s="24">
        <v>0.37338485676139704</v>
      </c>
      <c r="E20" s="20">
        <v>0.1548766461556156</v>
      </c>
      <c r="F20" s="18">
        <f t="shared" si="2"/>
        <v>13987.13685</v>
      </c>
      <c r="G20" s="15">
        <f t="shared" si="3"/>
        <v>5756.350182</v>
      </c>
      <c r="H20" s="26">
        <v>0.06373886376679604</v>
      </c>
      <c r="I20" s="20">
        <f t="shared" si="4"/>
        <v>2.42986205</v>
      </c>
      <c r="J20" s="20">
        <f t="shared" si="5"/>
        <v>527425.8674</v>
      </c>
      <c r="K20" s="20">
        <v>91.62504898549385</v>
      </c>
      <c r="M20" s="29">
        <v>12334.8</v>
      </c>
      <c r="N20" s="30">
        <v>12104.0</v>
      </c>
      <c r="O20" s="31">
        <v>0.1529</v>
      </c>
      <c r="P20" s="29">
        <v>1.02</v>
      </c>
      <c r="Q20" s="29">
        <v>977678.39</v>
      </c>
      <c r="R20" s="33"/>
      <c r="S20" s="23">
        <f t="shared" si="6"/>
        <v>0.1339573283</v>
      </c>
      <c r="T20" s="23">
        <f t="shared" si="7"/>
        <v>-0.460532346</v>
      </c>
      <c r="U20" s="28"/>
      <c r="V20" s="28"/>
    </row>
    <row r="21">
      <c r="A21" s="14" t="s">
        <v>26</v>
      </c>
      <c r="B21" s="15">
        <v>281968.33378316555</v>
      </c>
      <c r="C21" s="16">
        <f t="shared" si="1"/>
        <v>121579.7841</v>
      </c>
      <c r="D21" s="24">
        <v>0.4311824044652632</v>
      </c>
      <c r="E21" s="20">
        <v>0.10562877393095912</v>
      </c>
      <c r="F21" s="18">
        <f t="shared" si="2"/>
        <v>12842.32353</v>
      </c>
      <c r="G21" s="15">
        <f t="shared" si="3"/>
        <v>10856.6527</v>
      </c>
      <c r="H21" s="26">
        <v>0.08929652885378722</v>
      </c>
      <c r="I21" s="20">
        <f t="shared" si="4"/>
        <v>1.182898992</v>
      </c>
      <c r="J21" s="20">
        <f t="shared" si="5"/>
        <v>1120626.427</v>
      </c>
      <c r="K21" s="20">
        <v>103.22025189226616</v>
      </c>
      <c r="M21" s="29">
        <v>11629.6</v>
      </c>
      <c r="N21" s="30">
        <v>11455.0</v>
      </c>
      <c r="O21" s="31">
        <v>0.1579</v>
      </c>
      <c r="P21" s="29">
        <v>1.02</v>
      </c>
      <c r="Q21" s="29">
        <v>954690.9</v>
      </c>
      <c r="R21" s="33"/>
      <c r="S21" s="23">
        <f t="shared" si="6"/>
        <v>0.1042790409</v>
      </c>
      <c r="T21" s="23">
        <f t="shared" si="7"/>
        <v>0.1738107346</v>
      </c>
      <c r="U21" s="28"/>
      <c r="V21" s="28"/>
    </row>
    <row r="22">
      <c r="A22" s="14" t="s">
        <v>27</v>
      </c>
      <c r="B22" s="16">
        <v>554628.0</v>
      </c>
      <c r="C22" s="16">
        <f t="shared" si="1"/>
        <v>152800.014</v>
      </c>
      <c r="D22" s="17">
        <v>0.2755</v>
      </c>
      <c r="E22" s="18">
        <v>0.18</v>
      </c>
      <c r="F22" s="18">
        <f t="shared" si="2"/>
        <v>27504.00252</v>
      </c>
      <c r="G22" s="15">
        <f t="shared" si="3"/>
        <v>8801.280806</v>
      </c>
      <c r="H22" s="19">
        <v>0.0576</v>
      </c>
      <c r="I22" s="20">
        <f t="shared" si="4"/>
        <v>3.125</v>
      </c>
      <c r="J22" s="20">
        <f t="shared" si="5"/>
        <v>902957.1838</v>
      </c>
      <c r="K22" s="20">
        <v>102.59383874640302</v>
      </c>
      <c r="M22" s="29">
        <v>25026.24</v>
      </c>
      <c r="N22" s="30">
        <v>14051.0</v>
      </c>
      <c r="O22" s="31">
        <v>0.1512</v>
      </c>
      <c r="P22" s="29">
        <v>1.78</v>
      </c>
      <c r="Q22" s="29">
        <v>1252481.52</v>
      </c>
      <c r="R22" s="33"/>
      <c r="S22" s="23">
        <f t="shared" si="6"/>
        <v>0.09900658349</v>
      </c>
      <c r="T22" s="23">
        <f t="shared" si="7"/>
        <v>-0.2790654637</v>
      </c>
      <c r="U22" s="28"/>
      <c r="V22" s="28"/>
    </row>
    <row r="23">
      <c r="A23" s="8" t="s">
        <v>28</v>
      </c>
      <c r="B23" s="34">
        <f t="shared" ref="B23:C23" si="8">sum(B11:B22)</f>
        <v>4325815.319</v>
      </c>
      <c r="C23" s="34">
        <f t="shared" si="8"/>
        <v>1480665.158</v>
      </c>
      <c r="D23" s="35">
        <f>C23/B23</f>
        <v>0.3422858002</v>
      </c>
      <c r="E23" s="36">
        <f>F23/C23</f>
        <v>0.1666186209</v>
      </c>
      <c r="F23" s="36">
        <f t="shared" ref="F23:G23" si="9">sum(F11:F22)</f>
        <v>246706.3867</v>
      </c>
      <c r="G23" s="34">
        <f t="shared" si="9"/>
        <v>123980.1666</v>
      </c>
      <c r="H23" s="35">
        <f>G23/C23</f>
        <v>0.08373275076</v>
      </c>
      <c r="I23" s="36">
        <f t="shared" si="4"/>
        <v>1.98988591</v>
      </c>
      <c r="J23" s="36">
        <f>sum(J11:J22)</f>
        <v>12996503.5</v>
      </c>
      <c r="K23" s="36">
        <f>J23/G23</f>
        <v>104.8272789</v>
      </c>
      <c r="M23" s="37">
        <f>SUM(M10:M22)</f>
        <v>224409.33</v>
      </c>
      <c r="N23" s="38">
        <f>sum(N11:N22)</f>
        <v>129712.0038</v>
      </c>
      <c r="O23" s="39">
        <f>N23/J23</f>
        <v>0.009980530824</v>
      </c>
      <c r="P23" s="37">
        <f>M23/N23</f>
        <v>1.73005831</v>
      </c>
      <c r="Q23" s="37">
        <f>sum(Q11:Q22)</f>
        <v>12663297.69</v>
      </c>
      <c r="S23" s="23">
        <f t="shared" si="6"/>
        <v>0.09935886648</v>
      </c>
      <c r="T23" s="23">
        <f t="shared" si="7"/>
        <v>0.02631272062</v>
      </c>
      <c r="U23" s="28"/>
      <c r="V23" s="28"/>
    </row>
    <row r="25">
      <c r="C25" s="1"/>
      <c r="E25" s="2"/>
      <c r="F25" s="2"/>
    </row>
    <row r="26">
      <c r="A26" s="3" t="s">
        <v>29</v>
      </c>
      <c r="C26" s="1"/>
      <c r="E26" s="2"/>
      <c r="F26" s="2"/>
    </row>
    <row r="27">
      <c r="A27" s="3" t="s">
        <v>30</v>
      </c>
      <c r="C27" s="1"/>
      <c r="E27" s="2"/>
      <c r="F27" s="2"/>
    </row>
    <row r="28">
      <c r="A28" s="3" t="s">
        <v>31</v>
      </c>
      <c r="C28" s="1"/>
      <c r="E28" s="2"/>
      <c r="F28" s="2"/>
    </row>
    <row r="29">
      <c r="A29" s="3" t="s">
        <v>32</v>
      </c>
      <c r="C29" s="1"/>
      <c r="E29" s="2"/>
      <c r="F29" s="2"/>
    </row>
    <row r="30">
      <c r="B30" s="1"/>
      <c r="C30" s="1"/>
      <c r="D30" s="23"/>
      <c r="E30" s="2"/>
      <c r="F30" s="2"/>
      <c r="G30" s="1"/>
      <c r="H30" s="23"/>
      <c r="I30" s="2"/>
      <c r="J30" s="2"/>
      <c r="K30" s="2"/>
    </row>
    <row r="31">
      <c r="B31" s="1"/>
      <c r="C31" s="1"/>
      <c r="D31" s="23"/>
      <c r="E31" s="2"/>
      <c r="F31" s="2"/>
      <c r="G31" s="1"/>
      <c r="H31" s="23"/>
      <c r="I31" s="2"/>
      <c r="J31" s="2"/>
      <c r="K31" s="2"/>
    </row>
    <row r="32">
      <c r="C32" s="1"/>
      <c r="E32" s="2"/>
      <c r="F32" s="2"/>
    </row>
    <row r="33">
      <c r="C33" s="1"/>
      <c r="E33" s="2"/>
      <c r="F33" s="2"/>
    </row>
    <row r="34">
      <c r="C34" s="1"/>
      <c r="E34" s="2"/>
      <c r="F34" s="2"/>
    </row>
    <row r="35">
      <c r="C35" s="1"/>
      <c r="E35" s="2"/>
      <c r="F35" s="2"/>
    </row>
    <row r="36">
      <c r="C36" s="1"/>
      <c r="E36" s="2"/>
      <c r="F36" s="2"/>
    </row>
    <row r="37">
      <c r="C37" s="1"/>
      <c r="E37" s="2"/>
      <c r="F37" s="2"/>
    </row>
    <row r="38">
      <c r="C38" s="1"/>
      <c r="E38" s="2"/>
      <c r="F38" s="2"/>
    </row>
    <row r="39">
      <c r="C39" s="1"/>
      <c r="E39" s="2"/>
      <c r="F39" s="2"/>
    </row>
    <row r="40">
      <c r="C40" s="1"/>
      <c r="E40" s="2"/>
      <c r="F40" s="2"/>
    </row>
    <row r="41">
      <c r="C41" s="1"/>
      <c r="E41" s="2"/>
      <c r="F41" s="2"/>
    </row>
    <row r="42">
      <c r="C42" s="1"/>
      <c r="E42" s="2"/>
      <c r="F42" s="2"/>
    </row>
    <row r="43">
      <c r="C43" s="1"/>
      <c r="E43" s="2"/>
      <c r="F43" s="2"/>
    </row>
    <row r="44">
      <c r="C44" s="1"/>
      <c r="E44" s="2"/>
      <c r="F44" s="2"/>
    </row>
    <row r="45">
      <c r="C45" s="1"/>
      <c r="E45" s="2"/>
      <c r="F45" s="2"/>
    </row>
    <row r="46">
      <c r="C46" s="1"/>
      <c r="E46" s="2"/>
      <c r="F46" s="2"/>
    </row>
    <row r="47">
      <c r="C47" s="1"/>
      <c r="E47" s="2"/>
      <c r="F47" s="2"/>
    </row>
    <row r="48">
      <c r="C48" s="1"/>
      <c r="E48" s="2"/>
      <c r="F48" s="2"/>
    </row>
    <row r="49">
      <c r="C49" s="1"/>
      <c r="E49" s="2"/>
      <c r="F49" s="2"/>
    </row>
    <row r="50">
      <c r="C50" s="1"/>
      <c r="E50" s="2"/>
      <c r="F50" s="2"/>
    </row>
    <row r="51">
      <c r="C51" s="1"/>
      <c r="E51" s="2"/>
      <c r="F51" s="2"/>
    </row>
    <row r="52">
      <c r="C52" s="1"/>
      <c r="E52" s="2"/>
      <c r="F52" s="2"/>
    </row>
    <row r="53">
      <c r="C53" s="1"/>
      <c r="E53" s="2"/>
      <c r="F53" s="2"/>
    </row>
    <row r="54">
      <c r="C54" s="1"/>
      <c r="E54" s="2"/>
      <c r="F54" s="2"/>
    </row>
    <row r="55">
      <c r="C55" s="1"/>
      <c r="E55" s="2"/>
      <c r="F55" s="2"/>
    </row>
    <row r="56">
      <c r="C56" s="1"/>
      <c r="E56" s="2"/>
      <c r="F56" s="2"/>
    </row>
    <row r="57">
      <c r="C57" s="1"/>
      <c r="E57" s="2"/>
      <c r="F57" s="2"/>
    </row>
    <row r="58">
      <c r="C58" s="1"/>
      <c r="E58" s="2"/>
      <c r="F58" s="2"/>
    </row>
    <row r="59">
      <c r="C59" s="1"/>
      <c r="E59" s="2"/>
      <c r="F59" s="2"/>
    </row>
    <row r="60">
      <c r="C60" s="1"/>
      <c r="E60" s="2"/>
      <c r="F60" s="2"/>
    </row>
    <row r="61">
      <c r="C61" s="1"/>
      <c r="E61" s="2"/>
      <c r="F61" s="2"/>
    </row>
    <row r="62">
      <c r="C62" s="1"/>
      <c r="E62" s="2"/>
      <c r="F62" s="2"/>
    </row>
    <row r="63">
      <c r="C63" s="1"/>
      <c r="E63" s="2"/>
      <c r="F63" s="2"/>
    </row>
    <row r="64">
      <c r="C64" s="1"/>
      <c r="E64" s="2"/>
      <c r="F64" s="2"/>
    </row>
    <row r="65">
      <c r="C65" s="1"/>
      <c r="E65" s="2"/>
      <c r="F65" s="2"/>
    </row>
    <row r="66">
      <c r="C66" s="1"/>
      <c r="E66" s="2"/>
      <c r="F66" s="2"/>
    </row>
    <row r="67">
      <c r="C67" s="1"/>
      <c r="E67" s="2"/>
      <c r="F67" s="2"/>
    </row>
    <row r="68">
      <c r="C68" s="1"/>
      <c r="E68" s="2"/>
      <c r="F68" s="2"/>
    </row>
    <row r="69">
      <c r="C69" s="1"/>
      <c r="E69" s="2"/>
      <c r="F69" s="2"/>
    </row>
    <row r="70">
      <c r="C70" s="1"/>
      <c r="E70" s="2"/>
      <c r="F70" s="2"/>
    </row>
    <row r="71">
      <c r="C71" s="1"/>
      <c r="E71" s="2"/>
      <c r="F71" s="2"/>
    </row>
    <row r="72">
      <c r="C72" s="1"/>
      <c r="E72" s="2"/>
      <c r="F72" s="2"/>
    </row>
    <row r="73">
      <c r="C73" s="1"/>
      <c r="E73" s="2"/>
      <c r="F73" s="2"/>
    </row>
    <row r="74">
      <c r="C74" s="1"/>
      <c r="E74" s="2"/>
      <c r="F74" s="2"/>
    </row>
    <row r="75">
      <c r="C75" s="1"/>
      <c r="E75" s="2"/>
      <c r="F75" s="2"/>
    </row>
    <row r="76">
      <c r="C76" s="1"/>
      <c r="E76" s="2"/>
      <c r="F76" s="2"/>
    </row>
    <row r="77">
      <c r="C77" s="1"/>
      <c r="E77" s="2"/>
      <c r="F77" s="2"/>
    </row>
    <row r="78">
      <c r="C78" s="1"/>
      <c r="E78" s="2"/>
      <c r="F78" s="2"/>
    </row>
    <row r="79">
      <c r="C79" s="1"/>
      <c r="E79" s="2"/>
      <c r="F79" s="2"/>
    </row>
    <row r="80">
      <c r="C80" s="1"/>
      <c r="E80" s="2"/>
      <c r="F80" s="2"/>
    </row>
    <row r="81">
      <c r="C81" s="1"/>
      <c r="E81" s="2"/>
      <c r="F81" s="2"/>
    </row>
    <row r="82">
      <c r="C82" s="1"/>
      <c r="E82" s="2"/>
      <c r="F82" s="2"/>
    </row>
    <row r="83">
      <c r="C83" s="1"/>
      <c r="E83" s="2"/>
      <c r="F83" s="2"/>
    </row>
    <row r="84">
      <c r="C84" s="1"/>
      <c r="E84" s="2"/>
      <c r="F84" s="2"/>
    </row>
    <row r="85">
      <c r="C85" s="1"/>
      <c r="E85" s="2"/>
      <c r="F85" s="2"/>
    </row>
    <row r="86">
      <c r="C86" s="1"/>
      <c r="E86" s="2"/>
      <c r="F86" s="2"/>
    </row>
    <row r="87">
      <c r="C87" s="1"/>
      <c r="E87" s="2"/>
      <c r="F87" s="2"/>
    </row>
    <row r="88">
      <c r="C88" s="1"/>
      <c r="E88" s="2"/>
      <c r="F88" s="2"/>
    </row>
    <row r="89">
      <c r="C89" s="1"/>
      <c r="E89" s="2"/>
      <c r="F89" s="2"/>
    </row>
    <row r="90">
      <c r="C90" s="1"/>
      <c r="E90" s="2"/>
      <c r="F90" s="2"/>
    </row>
    <row r="91">
      <c r="C91" s="1"/>
      <c r="E91" s="2"/>
      <c r="F91" s="2"/>
    </row>
    <row r="92">
      <c r="C92" s="1"/>
      <c r="E92" s="2"/>
      <c r="F92" s="2"/>
    </row>
    <row r="93">
      <c r="C93" s="1"/>
      <c r="E93" s="2"/>
      <c r="F93" s="2"/>
    </row>
    <row r="94">
      <c r="C94" s="1"/>
      <c r="E94" s="2"/>
      <c r="F94" s="2"/>
    </row>
    <row r="95">
      <c r="C95" s="1"/>
      <c r="E95" s="2"/>
      <c r="F95" s="2"/>
    </row>
    <row r="96">
      <c r="C96" s="1"/>
      <c r="E96" s="2"/>
      <c r="F96" s="2"/>
    </row>
    <row r="97">
      <c r="C97" s="1"/>
      <c r="E97" s="2"/>
      <c r="F97" s="2"/>
    </row>
    <row r="98">
      <c r="C98" s="1"/>
      <c r="E98" s="2"/>
      <c r="F98" s="2"/>
    </row>
    <row r="99">
      <c r="C99" s="1"/>
      <c r="E99" s="2"/>
      <c r="F99" s="2"/>
    </row>
    <row r="100">
      <c r="C100" s="1"/>
      <c r="E100" s="2"/>
      <c r="F100" s="2"/>
    </row>
    <row r="101">
      <c r="C101" s="1"/>
      <c r="E101" s="2"/>
      <c r="F101" s="2"/>
    </row>
    <row r="102">
      <c r="C102" s="1"/>
      <c r="E102" s="2"/>
      <c r="F102" s="2"/>
    </row>
    <row r="103">
      <c r="C103" s="1"/>
      <c r="E103" s="2"/>
      <c r="F103" s="2"/>
    </row>
    <row r="104">
      <c r="C104" s="1"/>
      <c r="E104" s="2"/>
      <c r="F104" s="2"/>
    </row>
    <row r="105">
      <c r="C105" s="1"/>
      <c r="E105" s="2"/>
      <c r="F105" s="2"/>
    </row>
    <row r="106">
      <c r="C106" s="1"/>
      <c r="E106" s="2"/>
      <c r="F106" s="2"/>
    </row>
    <row r="107">
      <c r="C107" s="1"/>
      <c r="E107" s="2"/>
      <c r="F107" s="2"/>
    </row>
    <row r="108">
      <c r="C108" s="1"/>
      <c r="E108" s="2"/>
      <c r="F108" s="2"/>
    </row>
    <row r="109">
      <c r="C109" s="1"/>
      <c r="E109" s="2"/>
      <c r="F109" s="2"/>
    </row>
    <row r="110">
      <c r="C110" s="1"/>
      <c r="E110" s="2"/>
      <c r="F110" s="2"/>
    </row>
    <row r="111">
      <c r="C111" s="1"/>
      <c r="E111" s="2"/>
      <c r="F111" s="2"/>
    </row>
    <row r="112">
      <c r="C112" s="1"/>
      <c r="E112" s="2"/>
      <c r="F112" s="2"/>
    </row>
    <row r="113">
      <c r="C113" s="1"/>
      <c r="E113" s="2"/>
      <c r="F113" s="2"/>
    </row>
    <row r="114">
      <c r="C114" s="1"/>
      <c r="E114" s="2"/>
      <c r="F114" s="2"/>
    </row>
    <row r="115">
      <c r="C115" s="1"/>
      <c r="E115" s="2"/>
      <c r="F115" s="2"/>
    </row>
    <row r="116">
      <c r="C116" s="1"/>
      <c r="E116" s="2"/>
      <c r="F116" s="2"/>
    </row>
    <row r="117">
      <c r="C117" s="1"/>
      <c r="E117" s="2"/>
      <c r="F117" s="2"/>
    </row>
    <row r="118">
      <c r="C118" s="1"/>
      <c r="E118" s="2"/>
      <c r="F118" s="2"/>
    </row>
    <row r="119">
      <c r="C119" s="1"/>
      <c r="E119" s="2"/>
      <c r="F119" s="2"/>
    </row>
    <row r="120">
      <c r="C120" s="1"/>
      <c r="E120" s="2"/>
      <c r="F120" s="2"/>
    </row>
    <row r="121">
      <c r="C121" s="1"/>
      <c r="E121" s="2"/>
      <c r="F121" s="2"/>
    </row>
    <row r="122">
      <c r="C122" s="1"/>
      <c r="E122" s="2"/>
      <c r="F122" s="2"/>
    </row>
    <row r="123">
      <c r="C123" s="1"/>
      <c r="E123" s="2"/>
      <c r="F123" s="2"/>
    </row>
    <row r="124">
      <c r="C124" s="1"/>
      <c r="E124" s="2"/>
      <c r="F124" s="2"/>
    </row>
    <row r="125">
      <c r="C125" s="1"/>
      <c r="E125" s="2"/>
      <c r="F125" s="2"/>
    </row>
    <row r="126">
      <c r="C126" s="1"/>
      <c r="E126" s="2"/>
      <c r="F126" s="2"/>
    </row>
    <row r="127">
      <c r="C127" s="1"/>
      <c r="E127" s="2"/>
      <c r="F127" s="2"/>
    </row>
    <row r="128">
      <c r="C128" s="1"/>
      <c r="E128" s="2"/>
      <c r="F128" s="2"/>
    </row>
    <row r="129">
      <c r="C129" s="1"/>
      <c r="E129" s="2"/>
      <c r="F129" s="2"/>
    </row>
    <row r="130">
      <c r="C130" s="1"/>
      <c r="E130" s="2"/>
      <c r="F130" s="2"/>
    </row>
    <row r="131">
      <c r="C131" s="1"/>
      <c r="E131" s="2"/>
      <c r="F131" s="2"/>
    </row>
    <row r="132">
      <c r="C132" s="1"/>
      <c r="E132" s="2"/>
      <c r="F132" s="2"/>
    </row>
    <row r="133">
      <c r="C133" s="1"/>
      <c r="E133" s="2"/>
      <c r="F133" s="2"/>
    </row>
    <row r="134">
      <c r="C134" s="1"/>
      <c r="E134" s="2"/>
      <c r="F134" s="2"/>
    </row>
    <row r="135">
      <c r="C135" s="1"/>
      <c r="E135" s="2"/>
      <c r="F135" s="2"/>
    </row>
    <row r="136">
      <c r="C136" s="1"/>
      <c r="E136" s="2"/>
      <c r="F136" s="2"/>
    </row>
    <row r="137">
      <c r="C137" s="1"/>
      <c r="E137" s="2"/>
      <c r="F137" s="2"/>
    </row>
    <row r="138">
      <c r="C138" s="1"/>
      <c r="E138" s="2"/>
      <c r="F138" s="2"/>
    </row>
    <row r="139">
      <c r="C139" s="1"/>
      <c r="E139" s="2"/>
      <c r="F139" s="2"/>
    </row>
    <row r="140">
      <c r="C140" s="1"/>
      <c r="E140" s="2"/>
      <c r="F140" s="2"/>
    </row>
    <row r="141">
      <c r="C141" s="1"/>
      <c r="E141" s="2"/>
      <c r="F141" s="2"/>
    </row>
    <row r="142">
      <c r="C142" s="1"/>
      <c r="E142" s="2"/>
      <c r="F142" s="2"/>
    </row>
    <row r="143">
      <c r="C143" s="1"/>
      <c r="E143" s="2"/>
      <c r="F143" s="2"/>
    </row>
    <row r="144">
      <c r="C144" s="1"/>
      <c r="E144" s="2"/>
      <c r="F144" s="2"/>
    </row>
    <row r="145">
      <c r="C145" s="1"/>
      <c r="E145" s="2"/>
      <c r="F145" s="2"/>
    </row>
    <row r="146">
      <c r="C146" s="1"/>
      <c r="E146" s="2"/>
      <c r="F146" s="2"/>
    </row>
    <row r="147">
      <c r="C147" s="1"/>
      <c r="E147" s="2"/>
      <c r="F147" s="2"/>
    </row>
    <row r="148">
      <c r="C148" s="1"/>
      <c r="E148" s="2"/>
      <c r="F148" s="2"/>
    </row>
    <row r="149">
      <c r="C149" s="1"/>
      <c r="E149" s="2"/>
      <c r="F149" s="2"/>
    </row>
    <row r="150">
      <c r="C150" s="1"/>
      <c r="E150" s="2"/>
      <c r="F150" s="2"/>
    </row>
    <row r="151">
      <c r="C151" s="1"/>
      <c r="E151" s="2"/>
      <c r="F151" s="2"/>
    </row>
    <row r="152">
      <c r="C152" s="1"/>
      <c r="E152" s="2"/>
      <c r="F152" s="2"/>
    </row>
    <row r="153">
      <c r="C153" s="1"/>
      <c r="E153" s="2"/>
      <c r="F153" s="2"/>
    </row>
    <row r="154">
      <c r="C154" s="1"/>
      <c r="E154" s="2"/>
      <c r="F154" s="2"/>
    </row>
    <row r="155">
      <c r="C155" s="1"/>
      <c r="E155" s="2"/>
      <c r="F155" s="2"/>
    </row>
    <row r="156">
      <c r="C156" s="1"/>
      <c r="E156" s="2"/>
      <c r="F156" s="2"/>
    </row>
    <row r="157">
      <c r="C157" s="1"/>
      <c r="E157" s="2"/>
      <c r="F157" s="2"/>
    </row>
    <row r="158">
      <c r="C158" s="1"/>
      <c r="E158" s="2"/>
      <c r="F158" s="2"/>
    </row>
    <row r="159">
      <c r="C159" s="1"/>
      <c r="E159" s="2"/>
      <c r="F159" s="2"/>
    </row>
    <row r="160">
      <c r="C160" s="1"/>
      <c r="E160" s="2"/>
      <c r="F160" s="2"/>
    </row>
    <row r="161">
      <c r="C161" s="1"/>
      <c r="E161" s="2"/>
      <c r="F161" s="2"/>
    </row>
    <row r="162">
      <c r="C162" s="1"/>
      <c r="E162" s="2"/>
      <c r="F162" s="2"/>
    </row>
    <row r="163">
      <c r="C163" s="1"/>
      <c r="E163" s="2"/>
      <c r="F163" s="2"/>
    </row>
    <row r="164">
      <c r="C164" s="1"/>
      <c r="E164" s="2"/>
      <c r="F164" s="2"/>
    </row>
    <row r="165">
      <c r="C165" s="1"/>
      <c r="E165" s="2"/>
      <c r="F165" s="2"/>
    </row>
    <row r="166">
      <c r="C166" s="1"/>
      <c r="E166" s="2"/>
      <c r="F166" s="2"/>
    </row>
    <row r="167">
      <c r="C167" s="1"/>
      <c r="E167" s="2"/>
      <c r="F167" s="2"/>
    </row>
    <row r="168">
      <c r="C168" s="1"/>
      <c r="E168" s="2"/>
      <c r="F168" s="2"/>
    </row>
    <row r="169">
      <c r="C169" s="1"/>
      <c r="E169" s="2"/>
      <c r="F169" s="2"/>
    </row>
    <row r="170">
      <c r="C170" s="1"/>
      <c r="E170" s="2"/>
      <c r="F170" s="2"/>
    </row>
    <row r="171">
      <c r="C171" s="1"/>
      <c r="E171" s="2"/>
      <c r="F171" s="2"/>
    </row>
    <row r="172">
      <c r="C172" s="1"/>
      <c r="E172" s="2"/>
      <c r="F172" s="2"/>
    </row>
    <row r="173">
      <c r="C173" s="1"/>
      <c r="E173" s="2"/>
      <c r="F173" s="2"/>
    </row>
    <row r="174">
      <c r="C174" s="1"/>
      <c r="E174" s="2"/>
      <c r="F174" s="2"/>
    </row>
    <row r="175">
      <c r="C175" s="1"/>
      <c r="E175" s="2"/>
      <c r="F175" s="2"/>
    </row>
    <row r="176">
      <c r="C176" s="1"/>
      <c r="E176" s="2"/>
      <c r="F176" s="2"/>
    </row>
    <row r="177">
      <c r="C177" s="1"/>
      <c r="E177" s="2"/>
      <c r="F177" s="2"/>
    </row>
    <row r="178">
      <c r="C178" s="1"/>
      <c r="E178" s="2"/>
      <c r="F178" s="2"/>
    </row>
    <row r="179">
      <c r="C179" s="1"/>
      <c r="E179" s="2"/>
      <c r="F179" s="2"/>
    </row>
    <row r="180">
      <c r="C180" s="1"/>
      <c r="E180" s="2"/>
      <c r="F180" s="2"/>
    </row>
    <row r="181">
      <c r="C181" s="1"/>
      <c r="E181" s="2"/>
      <c r="F181" s="2"/>
    </row>
    <row r="182">
      <c r="C182" s="1"/>
      <c r="E182" s="2"/>
      <c r="F182" s="2"/>
    </row>
    <row r="183">
      <c r="C183" s="1"/>
      <c r="E183" s="2"/>
      <c r="F183" s="2"/>
    </row>
    <row r="184">
      <c r="C184" s="1"/>
      <c r="E184" s="2"/>
      <c r="F184" s="2"/>
    </row>
    <row r="185">
      <c r="C185" s="1"/>
      <c r="E185" s="2"/>
      <c r="F185" s="2"/>
    </row>
    <row r="186">
      <c r="C186" s="1"/>
      <c r="E186" s="2"/>
      <c r="F186" s="2"/>
    </row>
    <row r="187">
      <c r="C187" s="1"/>
      <c r="E187" s="2"/>
      <c r="F187" s="2"/>
    </row>
    <row r="188">
      <c r="C188" s="1"/>
      <c r="E188" s="2"/>
      <c r="F188" s="2"/>
    </row>
    <row r="189">
      <c r="C189" s="1"/>
      <c r="E189" s="2"/>
      <c r="F189" s="2"/>
    </row>
    <row r="190">
      <c r="C190" s="1"/>
      <c r="E190" s="2"/>
      <c r="F190" s="2"/>
    </row>
    <row r="191">
      <c r="C191" s="1"/>
      <c r="E191" s="2"/>
      <c r="F191" s="2"/>
    </row>
    <row r="192">
      <c r="C192" s="1"/>
      <c r="E192" s="2"/>
      <c r="F192" s="2"/>
    </row>
    <row r="193">
      <c r="C193" s="1"/>
      <c r="E193" s="2"/>
      <c r="F193" s="2"/>
    </row>
    <row r="194">
      <c r="C194" s="1"/>
      <c r="E194" s="2"/>
      <c r="F194" s="2"/>
    </row>
    <row r="195">
      <c r="C195" s="1"/>
      <c r="E195" s="2"/>
      <c r="F195" s="2"/>
    </row>
    <row r="196">
      <c r="C196" s="1"/>
      <c r="E196" s="2"/>
      <c r="F196" s="2"/>
    </row>
    <row r="197">
      <c r="C197" s="1"/>
      <c r="E197" s="2"/>
      <c r="F197" s="2"/>
    </row>
    <row r="198">
      <c r="C198" s="1"/>
      <c r="E198" s="2"/>
      <c r="F198" s="2"/>
    </row>
    <row r="199">
      <c r="C199" s="1"/>
      <c r="E199" s="2"/>
      <c r="F199" s="2"/>
    </row>
    <row r="200">
      <c r="C200" s="1"/>
      <c r="E200" s="2"/>
      <c r="F200" s="2"/>
    </row>
    <row r="201">
      <c r="C201" s="1"/>
      <c r="E201" s="2"/>
      <c r="F201" s="2"/>
    </row>
    <row r="202">
      <c r="C202" s="1"/>
      <c r="E202" s="2"/>
      <c r="F202" s="2"/>
    </row>
    <row r="203">
      <c r="C203" s="1"/>
      <c r="E203" s="2"/>
      <c r="F203" s="2"/>
    </row>
    <row r="204">
      <c r="C204" s="1"/>
      <c r="E204" s="2"/>
      <c r="F204" s="2"/>
    </row>
    <row r="205">
      <c r="C205" s="1"/>
      <c r="E205" s="2"/>
      <c r="F205" s="2"/>
    </row>
    <row r="206">
      <c r="C206" s="1"/>
      <c r="E206" s="2"/>
      <c r="F206" s="2"/>
    </row>
    <row r="207">
      <c r="C207" s="1"/>
      <c r="E207" s="2"/>
      <c r="F207" s="2"/>
    </row>
    <row r="208">
      <c r="C208" s="1"/>
      <c r="E208" s="2"/>
      <c r="F208" s="2"/>
    </row>
    <row r="209">
      <c r="C209" s="1"/>
      <c r="E209" s="2"/>
      <c r="F209" s="2"/>
    </row>
    <row r="210">
      <c r="C210" s="1"/>
      <c r="E210" s="2"/>
      <c r="F210" s="2"/>
    </row>
    <row r="211">
      <c r="C211" s="1"/>
      <c r="E211" s="2"/>
      <c r="F211" s="2"/>
    </row>
    <row r="212">
      <c r="C212" s="1"/>
      <c r="E212" s="2"/>
      <c r="F212" s="2"/>
    </row>
    <row r="213">
      <c r="C213" s="1"/>
      <c r="E213" s="2"/>
      <c r="F213" s="2"/>
    </row>
    <row r="214">
      <c r="C214" s="1"/>
      <c r="E214" s="2"/>
      <c r="F214" s="2"/>
    </row>
    <row r="215">
      <c r="C215" s="1"/>
      <c r="E215" s="2"/>
      <c r="F215" s="2"/>
    </row>
    <row r="216">
      <c r="C216" s="1"/>
      <c r="E216" s="2"/>
      <c r="F216" s="2"/>
    </row>
    <row r="217">
      <c r="C217" s="1"/>
      <c r="E217" s="2"/>
      <c r="F217" s="2"/>
    </row>
    <row r="218">
      <c r="C218" s="1"/>
      <c r="E218" s="2"/>
      <c r="F218" s="2"/>
    </row>
    <row r="219">
      <c r="C219" s="1"/>
      <c r="E219" s="2"/>
      <c r="F219" s="2"/>
    </row>
    <row r="220">
      <c r="C220" s="1"/>
      <c r="E220" s="2"/>
      <c r="F220" s="2"/>
    </row>
    <row r="221">
      <c r="C221" s="1"/>
      <c r="E221" s="2"/>
      <c r="F221" s="2"/>
    </row>
    <row r="222">
      <c r="C222" s="1"/>
      <c r="E222" s="2"/>
      <c r="F222" s="2"/>
    </row>
    <row r="223">
      <c r="C223" s="1"/>
      <c r="E223" s="2"/>
      <c r="F223" s="2"/>
    </row>
    <row r="224">
      <c r="C224" s="1"/>
      <c r="E224" s="2"/>
      <c r="F224" s="2"/>
    </row>
    <row r="225">
      <c r="C225" s="1"/>
      <c r="E225" s="2"/>
      <c r="F225" s="2"/>
    </row>
    <row r="226">
      <c r="C226" s="1"/>
      <c r="E226" s="2"/>
      <c r="F226" s="2"/>
    </row>
    <row r="227">
      <c r="C227" s="1"/>
      <c r="E227" s="2"/>
      <c r="F227" s="2"/>
    </row>
    <row r="228">
      <c r="C228" s="1"/>
      <c r="E228" s="2"/>
      <c r="F228" s="2"/>
    </row>
    <row r="229">
      <c r="C229" s="1"/>
      <c r="E229" s="2"/>
      <c r="F229" s="2"/>
    </row>
    <row r="230">
      <c r="C230" s="1"/>
      <c r="E230" s="2"/>
      <c r="F230" s="2"/>
    </row>
    <row r="231">
      <c r="C231" s="1"/>
      <c r="E231" s="2"/>
      <c r="F231" s="2"/>
    </row>
    <row r="232">
      <c r="C232" s="1"/>
      <c r="E232" s="2"/>
      <c r="F232" s="2"/>
    </row>
    <row r="233">
      <c r="C233" s="1"/>
      <c r="E233" s="2"/>
      <c r="F233" s="2"/>
    </row>
    <row r="234">
      <c r="C234" s="1"/>
      <c r="E234" s="2"/>
      <c r="F234" s="2"/>
    </row>
    <row r="235">
      <c r="C235" s="1"/>
      <c r="E235" s="2"/>
      <c r="F235" s="2"/>
    </row>
    <row r="236">
      <c r="C236" s="1"/>
      <c r="E236" s="2"/>
      <c r="F236" s="2"/>
    </row>
    <row r="237">
      <c r="C237" s="1"/>
      <c r="E237" s="2"/>
      <c r="F237" s="2"/>
    </row>
    <row r="238">
      <c r="C238" s="1"/>
      <c r="E238" s="2"/>
      <c r="F238" s="2"/>
    </row>
    <row r="239">
      <c r="C239" s="1"/>
      <c r="E239" s="2"/>
      <c r="F239" s="2"/>
    </row>
    <row r="240">
      <c r="C240" s="1"/>
      <c r="E240" s="2"/>
      <c r="F240" s="2"/>
    </row>
    <row r="241">
      <c r="C241" s="1"/>
      <c r="E241" s="2"/>
      <c r="F241" s="2"/>
    </row>
    <row r="242">
      <c r="C242" s="1"/>
      <c r="E242" s="2"/>
      <c r="F242" s="2"/>
    </row>
    <row r="243">
      <c r="C243" s="1"/>
      <c r="E243" s="2"/>
      <c r="F243" s="2"/>
    </row>
    <row r="244">
      <c r="C244" s="1"/>
      <c r="E244" s="2"/>
      <c r="F244" s="2"/>
    </row>
    <row r="245">
      <c r="C245" s="1"/>
      <c r="E245" s="2"/>
      <c r="F245" s="2"/>
    </row>
    <row r="246">
      <c r="C246" s="1"/>
      <c r="E246" s="2"/>
      <c r="F246" s="2"/>
    </row>
    <row r="247">
      <c r="C247" s="1"/>
      <c r="E247" s="2"/>
      <c r="F247" s="2"/>
    </row>
    <row r="248">
      <c r="C248" s="1"/>
      <c r="E248" s="2"/>
      <c r="F248" s="2"/>
    </row>
    <row r="249">
      <c r="C249" s="1"/>
      <c r="E249" s="2"/>
      <c r="F249" s="2"/>
    </row>
    <row r="250">
      <c r="C250" s="1"/>
      <c r="E250" s="2"/>
      <c r="F250" s="2"/>
    </row>
    <row r="251">
      <c r="C251" s="1"/>
      <c r="E251" s="2"/>
      <c r="F251" s="2"/>
    </row>
    <row r="252">
      <c r="C252" s="1"/>
      <c r="E252" s="2"/>
      <c r="F252" s="2"/>
    </row>
    <row r="253">
      <c r="C253" s="1"/>
      <c r="E253" s="2"/>
      <c r="F253" s="2"/>
    </row>
    <row r="254">
      <c r="C254" s="1"/>
      <c r="E254" s="2"/>
      <c r="F254" s="2"/>
    </row>
    <row r="255">
      <c r="C255" s="1"/>
      <c r="E255" s="2"/>
      <c r="F255" s="2"/>
    </row>
    <row r="256">
      <c r="C256" s="1"/>
      <c r="E256" s="2"/>
      <c r="F256" s="2"/>
    </row>
    <row r="257">
      <c r="C257" s="1"/>
      <c r="E257" s="2"/>
      <c r="F257" s="2"/>
    </row>
    <row r="258">
      <c r="C258" s="1"/>
      <c r="E258" s="2"/>
      <c r="F258" s="2"/>
    </row>
    <row r="259">
      <c r="C259" s="1"/>
      <c r="E259" s="2"/>
      <c r="F259" s="2"/>
    </row>
    <row r="260">
      <c r="C260" s="1"/>
      <c r="E260" s="2"/>
      <c r="F260" s="2"/>
    </row>
    <row r="261">
      <c r="C261" s="1"/>
      <c r="E261" s="2"/>
      <c r="F261" s="2"/>
    </row>
    <row r="262">
      <c r="C262" s="1"/>
      <c r="E262" s="2"/>
      <c r="F262" s="2"/>
    </row>
    <row r="263">
      <c r="C263" s="1"/>
      <c r="E263" s="2"/>
      <c r="F263" s="2"/>
    </row>
    <row r="264">
      <c r="C264" s="1"/>
      <c r="E264" s="2"/>
      <c r="F264" s="2"/>
    </row>
    <row r="265">
      <c r="C265" s="1"/>
      <c r="E265" s="2"/>
      <c r="F265" s="2"/>
    </row>
    <row r="266">
      <c r="C266" s="1"/>
      <c r="E266" s="2"/>
      <c r="F266" s="2"/>
    </row>
    <row r="267">
      <c r="C267" s="1"/>
      <c r="E267" s="2"/>
      <c r="F267" s="2"/>
    </row>
    <row r="268">
      <c r="C268" s="1"/>
      <c r="E268" s="2"/>
      <c r="F268" s="2"/>
    </row>
    <row r="269">
      <c r="C269" s="1"/>
      <c r="E269" s="2"/>
      <c r="F269" s="2"/>
    </row>
    <row r="270">
      <c r="C270" s="1"/>
      <c r="E270" s="2"/>
      <c r="F270" s="2"/>
    </row>
    <row r="271">
      <c r="C271" s="1"/>
      <c r="E271" s="2"/>
      <c r="F271" s="2"/>
    </row>
    <row r="272">
      <c r="C272" s="1"/>
      <c r="E272" s="2"/>
      <c r="F272" s="2"/>
    </row>
    <row r="273">
      <c r="C273" s="1"/>
      <c r="E273" s="2"/>
      <c r="F273" s="2"/>
    </row>
    <row r="274">
      <c r="C274" s="1"/>
      <c r="E274" s="2"/>
      <c r="F274" s="2"/>
    </row>
    <row r="275">
      <c r="C275" s="1"/>
      <c r="E275" s="2"/>
      <c r="F275" s="2"/>
    </row>
    <row r="276">
      <c r="C276" s="1"/>
      <c r="E276" s="2"/>
      <c r="F276" s="2"/>
    </row>
    <row r="277">
      <c r="C277" s="1"/>
      <c r="E277" s="2"/>
      <c r="F277" s="2"/>
    </row>
    <row r="278">
      <c r="C278" s="1"/>
      <c r="E278" s="2"/>
      <c r="F278" s="2"/>
    </row>
    <row r="279">
      <c r="C279" s="1"/>
      <c r="E279" s="2"/>
      <c r="F279" s="2"/>
    </row>
    <row r="280">
      <c r="C280" s="1"/>
      <c r="E280" s="2"/>
      <c r="F280" s="2"/>
    </row>
    <row r="281">
      <c r="C281" s="1"/>
      <c r="E281" s="2"/>
      <c r="F281" s="2"/>
    </row>
    <row r="282">
      <c r="C282" s="1"/>
      <c r="E282" s="2"/>
      <c r="F282" s="2"/>
    </row>
    <row r="283">
      <c r="C283" s="1"/>
      <c r="E283" s="2"/>
      <c r="F283" s="2"/>
    </row>
    <row r="284">
      <c r="C284" s="1"/>
      <c r="E284" s="2"/>
      <c r="F284" s="2"/>
    </row>
    <row r="285">
      <c r="C285" s="1"/>
      <c r="E285" s="2"/>
      <c r="F285" s="2"/>
    </row>
    <row r="286">
      <c r="C286" s="1"/>
      <c r="E286" s="2"/>
      <c r="F286" s="2"/>
    </row>
    <row r="287">
      <c r="C287" s="1"/>
      <c r="E287" s="2"/>
      <c r="F287" s="2"/>
    </row>
    <row r="288">
      <c r="C288" s="1"/>
      <c r="E288" s="2"/>
      <c r="F288" s="2"/>
    </row>
    <row r="289">
      <c r="C289" s="1"/>
      <c r="E289" s="2"/>
      <c r="F289" s="2"/>
    </row>
    <row r="290">
      <c r="C290" s="1"/>
      <c r="E290" s="2"/>
      <c r="F290" s="2"/>
    </row>
    <row r="291">
      <c r="C291" s="1"/>
      <c r="E291" s="2"/>
      <c r="F291" s="2"/>
    </row>
    <row r="292">
      <c r="C292" s="1"/>
      <c r="E292" s="2"/>
      <c r="F292" s="2"/>
    </row>
    <row r="293">
      <c r="C293" s="1"/>
      <c r="E293" s="2"/>
      <c r="F293" s="2"/>
    </row>
    <row r="294">
      <c r="C294" s="1"/>
      <c r="E294" s="2"/>
      <c r="F294" s="2"/>
    </row>
    <row r="295">
      <c r="C295" s="1"/>
      <c r="E295" s="2"/>
      <c r="F295" s="2"/>
    </row>
    <row r="296">
      <c r="C296" s="1"/>
      <c r="E296" s="2"/>
      <c r="F296" s="2"/>
    </row>
    <row r="297">
      <c r="C297" s="1"/>
      <c r="E297" s="2"/>
      <c r="F297" s="2"/>
    </row>
    <row r="298">
      <c r="C298" s="1"/>
      <c r="E298" s="2"/>
      <c r="F298" s="2"/>
    </row>
    <row r="299">
      <c r="C299" s="1"/>
      <c r="E299" s="2"/>
      <c r="F299" s="2"/>
    </row>
    <row r="300">
      <c r="C300" s="1"/>
      <c r="E300" s="2"/>
      <c r="F300" s="2"/>
    </row>
    <row r="301">
      <c r="C301" s="1"/>
      <c r="E301" s="2"/>
      <c r="F301" s="2"/>
    </row>
    <row r="302">
      <c r="C302" s="1"/>
      <c r="E302" s="2"/>
      <c r="F302" s="2"/>
    </row>
    <row r="303">
      <c r="C303" s="1"/>
      <c r="E303" s="2"/>
      <c r="F303" s="2"/>
    </row>
    <row r="304">
      <c r="C304" s="1"/>
      <c r="E304" s="2"/>
      <c r="F304" s="2"/>
    </row>
    <row r="305">
      <c r="C305" s="1"/>
      <c r="E305" s="2"/>
      <c r="F305" s="2"/>
    </row>
    <row r="306">
      <c r="C306" s="1"/>
      <c r="E306" s="2"/>
      <c r="F306" s="2"/>
    </row>
    <row r="307">
      <c r="C307" s="1"/>
      <c r="E307" s="2"/>
      <c r="F307" s="2"/>
    </row>
    <row r="308">
      <c r="C308" s="1"/>
      <c r="E308" s="2"/>
      <c r="F308" s="2"/>
    </row>
    <row r="309">
      <c r="C309" s="1"/>
      <c r="E309" s="2"/>
      <c r="F309" s="2"/>
    </row>
    <row r="310">
      <c r="C310" s="1"/>
      <c r="E310" s="2"/>
      <c r="F310" s="2"/>
    </row>
    <row r="311">
      <c r="C311" s="1"/>
      <c r="E311" s="2"/>
      <c r="F311" s="2"/>
    </row>
    <row r="312">
      <c r="C312" s="1"/>
      <c r="E312" s="2"/>
      <c r="F312" s="2"/>
    </row>
    <row r="313">
      <c r="C313" s="1"/>
      <c r="E313" s="2"/>
      <c r="F313" s="2"/>
    </row>
    <row r="314">
      <c r="C314" s="1"/>
      <c r="E314" s="2"/>
      <c r="F314" s="2"/>
    </row>
    <row r="315">
      <c r="C315" s="1"/>
      <c r="E315" s="2"/>
      <c r="F315" s="2"/>
    </row>
    <row r="316">
      <c r="C316" s="1"/>
      <c r="E316" s="2"/>
      <c r="F316" s="2"/>
    </row>
    <row r="317">
      <c r="C317" s="1"/>
      <c r="E317" s="2"/>
      <c r="F317" s="2"/>
    </row>
    <row r="318">
      <c r="C318" s="1"/>
      <c r="E318" s="2"/>
      <c r="F318" s="2"/>
    </row>
    <row r="319">
      <c r="C319" s="1"/>
      <c r="E319" s="2"/>
      <c r="F319" s="2"/>
    </row>
    <row r="320">
      <c r="C320" s="1"/>
      <c r="E320" s="2"/>
      <c r="F320" s="2"/>
    </row>
    <row r="321">
      <c r="C321" s="1"/>
      <c r="E321" s="2"/>
      <c r="F321" s="2"/>
    </row>
    <row r="322">
      <c r="C322" s="1"/>
      <c r="E322" s="2"/>
      <c r="F322" s="2"/>
    </row>
    <row r="323">
      <c r="C323" s="1"/>
      <c r="E323" s="2"/>
      <c r="F323" s="2"/>
    </row>
    <row r="324">
      <c r="C324" s="1"/>
      <c r="E324" s="2"/>
      <c r="F324" s="2"/>
    </row>
    <row r="325">
      <c r="C325" s="1"/>
      <c r="E325" s="2"/>
      <c r="F325" s="2"/>
    </row>
    <row r="326">
      <c r="C326" s="1"/>
      <c r="E326" s="2"/>
      <c r="F326" s="2"/>
    </row>
    <row r="327">
      <c r="C327" s="1"/>
      <c r="E327" s="2"/>
      <c r="F327" s="2"/>
    </row>
    <row r="328">
      <c r="C328" s="1"/>
      <c r="E328" s="2"/>
      <c r="F328" s="2"/>
    </row>
    <row r="329">
      <c r="C329" s="1"/>
      <c r="E329" s="2"/>
      <c r="F329" s="2"/>
    </row>
    <row r="330">
      <c r="C330" s="1"/>
      <c r="E330" s="2"/>
      <c r="F330" s="2"/>
    </row>
    <row r="331">
      <c r="C331" s="1"/>
      <c r="E331" s="2"/>
      <c r="F331" s="2"/>
    </row>
    <row r="332">
      <c r="C332" s="1"/>
      <c r="E332" s="2"/>
      <c r="F332" s="2"/>
    </row>
    <row r="333">
      <c r="C333" s="1"/>
      <c r="E333" s="2"/>
      <c r="F333" s="2"/>
    </row>
    <row r="334">
      <c r="C334" s="1"/>
      <c r="E334" s="2"/>
      <c r="F334" s="2"/>
    </row>
    <row r="335">
      <c r="C335" s="1"/>
      <c r="E335" s="2"/>
      <c r="F335" s="2"/>
    </row>
    <row r="336">
      <c r="C336" s="1"/>
      <c r="E336" s="2"/>
      <c r="F336" s="2"/>
    </row>
    <row r="337">
      <c r="C337" s="1"/>
      <c r="E337" s="2"/>
      <c r="F337" s="2"/>
    </row>
    <row r="338">
      <c r="C338" s="1"/>
      <c r="E338" s="2"/>
      <c r="F338" s="2"/>
    </row>
    <row r="339">
      <c r="C339" s="1"/>
      <c r="E339" s="2"/>
      <c r="F339" s="2"/>
    </row>
    <row r="340">
      <c r="C340" s="1"/>
      <c r="E340" s="2"/>
      <c r="F340" s="2"/>
    </row>
    <row r="341">
      <c r="C341" s="1"/>
      <c r="E341" s="2"/>
      <c r="F341" s="2"/>
    </row>
    <row r="342">
      <c r="C342" s="1"/>
      <c r="E342" s="2"/>
      <c r="F342" s="2"/>
    </row>
    <row r="343">
      <c r="C343" s="1"/>
      <c r="E343" s="2"/>
      <c r="F343" s="2"/>
    </row>
    <row r="344">
      <c r="C344" s="1"/>
      <c r="E344" s="2"/>
      <c r="F344" s="2"/>
    </row>
    <row r="345">
      <c r="C345" s="1"/>
      <c r="E345" s="2"/>
      <c r="F345" s="2"/>
    </row>
    <row r="346">
      <c r="C346" s="1"/>
      <c r="E346" s="2"/>
      <c r="F346" s="2"/>
    </row>
    <row r="347">
      <c r="C347" s="1"/>
      <c r="E347" s="2"/>
      <c r="F347" s="2"/>
    </row>
    <row r="348">
      <c r="C348" s="1"/>
      <c r="E348" s="2"/>
      <c r="F348" s="2"/>
    </row>
    <row r="349">
      <c r="C349" s="1"/>
      <c r="E349" s="2"/>
      <c r="F349" s="2"/>
    </row>
    <row r="350">
      <c r="C350" s="1"/>
      <c r="E350" s="2"/>
      <c r="F350" s="2"/>
    </row>
    <row r="351">
      <c r="C351" s="1"/>
      <c r="E351" s="2"/>
      <c r="F351" s="2"/>
    </row>
    <row r="352">
      <c r="C352" s="1"/>
      <c r="E352" s="2"/>
      <c r="F352" s="2"/>
    </row>
    <row r="353">
      <c r="C353" s="1"/>
      <c r="E353" s="2"/>
      <c r="F353" s="2"/>
    </row>
    <row r="354">
      <c r="C354" s="1"/>
      <c r="E354" s="2"/>
      <c r="F354" s="2"/>
    </row>
    <row r="355">
      <c r="C355" s="1"/>
      <c r="E355" s="2"/>
      <c r="F355" s="2"/>
    </row>
    <row r="356">
      <c r="C356" s="1"/>
      <c r="E356" s="2"/>
      <c r="F356" s="2"/>
    </row>
    <row r="357">
      <c r="C357" s="1"/>
      <c r="E357" s="2"/>
      <c r="F357" s="2"/>
    </row>
    <row r="358">
      <c r="C358" s="1"/>
      <c r="E358" s="2"/>
      <c r="F358" s="2"/>
    </row>
    <row r="359">
      <c r="C359" s="1"/>
      <c r="E359" s="2"/>
      <c r="F359" s="2"/>
    </row>
    <row r="360">
      <c r="C360" s="1"/>
      <c r="E360" s="2"/>
      <c r="F360" s="2"/>
    </row>
    <row r="361">
      <c r="C361" s="1"/>
      <c r="E361" s="2"/>
      <c r="F361" s="2"/>
    </row>
    <row r="362">
      <c r="C362" s="1"/>
      <c r="E362" s="2"/>
      <c r="F362" s="2"/>
    </row>
    <row r="363">
      <c r="C363" s="1"/>
      <c r="E363" s="2"/>
      <c r="F363" s="2"/>
    </row>
    <row r="364">
      <c r="C364" s="1"/>
      <c r="E364" s="2"/>
      <c r="F364" s="2"/>
    </row>
    <row r="365">
      <c r="C365" s="1"/>
      <c r="E365" s="2"/>
      <c r="F365" s="2"/>
    </row>
    <row r="366">
      <c r="C366" s="1"/>
      <c r="E366" s="2"/>
      <c r="F366" s="2"/>
    </row>
    <row r="367">
      <c r="C367" s="1"/>
      <c r="E367" s="2"/>
      <c r="F367" s="2"/>
    </row>
    <row r="368">
      <c r="C368" s="1"/>
      <c r="E368" s="2"/>
      <c r="F368" s="2"/>
    </row>
    <row r="369">
      <c r="C369" s="1"/>
      <c r="E369" s="2"/>
      <c r="F369" s="2"/>
    </row>
    <row r="370">
      <c r="C370" s="1"/>
      <c r="E370" s="2"/>
      <c r="F370" s="2"/>
    </row>
    <row r="371">
      <c r="C371" s="1"/>
      <c r="E371" s="2"/>
      <c r="F371" s="2"/>
    </row>
    <row r="372">
      <c r="C372" s="1"/>
      <c r="E372" s="2"/>
      <c r="F372" s="2"/>
    </row>
    <row r="373">
      <c r="C373" s="1"/>
      <c r="E373" s="2"/>
      <c r="F373" s="2"/>
    </row>
    <row r="374">
      <c r="C374" s="1"/>
      <c r="E374" s="2"/>
      <c r="F374" s="2"/>
    </row>
    <row r="375">
      <c r="C375" s="1"/>
      <c r="E375" s="2"/>
      <c r="F375" s="2"/>
    </row>
    <row r="376">
      <c r="C376" s="1"/>
      <c r="E376" s="2"/>
      <c r="F376" s="2"/>
    </row>
    <row r="377">
      <c r="C377" s="1"/>
      <c r="E377" s="2"/>
      <c r="F377" s="2"/>
    </row>
    <row r="378">
      <c r="C378" s="1"/>
      <c r="E378" s="2"/>
      <c r="F378" s="2"/>
    </row>
    <row r="379">
      <c r="C379" s="1"/>
      <c r="E379" s="2"/>
      <c r="F379" s="2"/>
    </row>
    <row r="380">
      <c r="C380" s="1"/>
      <c r="E380" s="2"/>
      <c r="F380" s="2"/>
    </row>
    <row r="381">
      <c r="C381" s="1"/>
      <c r="E381" s="2"/>
      <c r="F381" s="2"/>
    </row>
    <row r="382">
      <c r="C382" s="1"/>
      <c r="E382" s="2"/>
      <c r="F382" s="2"/>
    </row>
    <row r="383">
      <c r="C383" s="1"/>
      <c r="E383" s="2"/>
      <c r="F383" s="2"/>
    </row>
    <row r="384">
      <c r="C384" s="1"/>
      <c r="E384" s="2"/>
      <c r="F384" s="2"/>
    </row>
    <row r="385">
      <c r="C385" s="1"/>
      <c r="E385" s="2"/>
      <c r="F385" s="2"/>
    </row>
    <row r="386">
      <c r="C386" s="1"/>
      <c r="E386" s="2"/>
      <c r="F386" s="2"/>
    </row>
    <row r="387">
      <c r="C387" s="1"/>
      <c r="E387" s="2"/>
      <c r="F387" s="2"/>
    </row>
    <row r="388">
      <c r="C388" s="1"/>
      <c r="E388" s="2"/>
      <c r="F388" s="2"/>
    </row>
    <row r="389">
      <c r="C389" s="1"/>
      <c r="E389" s="2"/>
      <c r="F389" s="2"/>
    </row>
    <row r="390">
      <c r="C390" s="1"/>
      <c r="E390" s="2"/>
      <c r="F390" s="2"/>
    </row>
    <row r="391">
      <c r="C391" s="1"/>
      <c r="E391" s="2"/>
      <c r="F391" s="2"/>
    </row>
    <row r="392">
      <c r="C392" s="1"/>
      <c r="E392" s="2"/>
      <c r="F392" s="2"/>
    </row>
    <row r="393">
      <c r="C393" s="1"/>
      <c r="E393" s="2"/>
      <c r="F393" s="2"/>
    </row>
    <row r="394">
      <c r="C394" s="1"/>
      <c r="E394" s="2"/>
      <c r="F394" s="2"/>
    </row>
    <row r="395">
      <c r="C395" s="1"/>
      <c r="E395" s="2"/>
      <c r="F395" s="2"/>
    </row>
    <row r="396">
      <c r="C396" s="1"/>
      <c r="E396" s="2"/>
      <c r="F396" s="2"/>
    </row>
    <row r="397">
      <c r="C397" s="1"/>
      <c r="E397" s="2"/>
      <c r="F397" s="2"/>
    </row>
    <row r="398">
      <c r="C398" s="1"/>
      <c r="E398" s="2"/>
      <c r="F398" s="2"/>
    </row>
    <row r="399">
      <c r="C399" s="1"/>
      <c r="E399" s="2"/>
      <c r="F399" s="2"/>
    </row>
    <row r="400">
      <c r="C400" s="1"/>
      <c r="E400" s="2"/>
      <c r="F400" s="2"/>
    </row>
    <row r="401">
      <c r="C401" s="1"/>
      <c r="E401" s="2"/>
      <c r="F401" s="2"/>
    </row>
    <row r="402">
      <c r="C402" s="1"/>
      <c r="E402" s="2"/>
      <c r="F402" s="2"/>
    </row>
    <row r="403">
      <c r="C403" s="1"/>
      <c r="E403" s="2"/>
      <c r="F403" s="2"/>
    </row>
    <row r="404">
      <c r="C404" s="1"/>
      <c r="E404" s="2"/>
      <c r="F404" s="2"/>
    </row>
    <row r="405">
      <c r="C405" s="1"/>
      <c r="E405" s="2"/>
      <c r="F405" s="2"/>
    </row>
    <row r="406">
      <c r="C406" s="1"/>
      <c r="E406" s="2"/>
      <c r="F406" s="2"/>
    </row>
    <row r="407">
      <c r="C407" s="1"/>
      <c r="E407" s="2"/>
      <c r="F407" s="2"/>
    </row>
    <row r="408">
      <c r="C408" s="1"/>
      <c r="E408" s="2"/>
      <c r="F408" s="2"/>
    </row>
    <row r="409">
      <c r="C409" s="1"/>
      <c r="E409" s="2"/>
      <c r="F409" s="2"/>
    </row>
    <row r="410">
      <c r="C410" s="1"/>
      <c r="E410" s="2"/>
      <c r="F410" s="2"/>
    </row>
    <row r="411">
      <c r="C411" s="1"/>
      <c r="E411" s="2"/>
      <c r="F411" s="2"/>
    </row>
    <row r="412">
      <c r="C412" s="1"/>
      <c r="E412" s="2"/>
      <c r="F412" s="2"/>
    </row>
    <row r="413">
      <c r="C413" s="1"/>
      <c r="E413" s="2"/>
      <c r="F413" s="2"/>
    </row>
    <row r="414">
      <c r="C414" s="1"/>
      <c r="E414" s="2"/>
      <c r="F414" s="2"/>
    </row>
    <row r="415">
      <c r="C415" s="1"/>
      <c r="E415" s="2"/>
      <c r="F415" s="2"/>
    </row>
    <row r="416">
      <c r="C416" s="1"/>
      <c r="E416" s="2"/>
      <c r="F416" s="2"/>
    </row>
    <row r="417">
      <c r="C417" s="1"/>
      <c r="E417" s="2"/>
      <c r="F417" s="2"/>
    </row>
    <row r="418">
      <c r="C418" s="1"/>
      <c r="E418" s="2"/>
      <c r="F418" s="2"/>
    </row>
    <row r="419">
      <c r="C419" s="1"/>
      <c r="E419" s="2"/>
      <c r="F419" s="2"/>
    </row>
    <row r="420">
      <c r="C420" s="1"/>
      <c r="E420" s="2"/>
      <c r="F420" s="2"/>
    </row>
    <row r="421">
      <c r="C421" s="1"/>
      <c r="E421" s="2"/>
      <c r="F421" s="2"/>
    </row>
    <row r="422">
      <c r="C422" s="1"/>
      <c r="E422" s="2"/>
      <c r="F422" s="2"/>
    </row>
    <row r="423">
      <c r="C423" s="1"/>
      <c r="E423" s="2"/>
      <c r="F423" s="2"/>
    </row>
    <row r="424">
      <c r="C424" s="1"/>
      <c r="E424" s="2"/>
      <c r="F424" s="2"/>
    </row>
    <row r="425">
      <c r="C425" s="1"/>
      <c r="E425" s="2"/>
      <c r="F425" s="2"/>
    </row>
    <row r="426">
      <c r="C426" s="1"/>
      <c r="E426" s="2"/>
      <c r="F426" s="2"/>
    </row>
    <row r="427">
      <c r="C427" s="1"/>
      <c r="E427" s="2"/>
      <c r="F427" s="2"/>
    </row>
    <row r="428">
      <c r="C428" s="1"/>
      <c r="E428" s="2"/>
      <c r="F428" s="2"/>
    </row>
    <row r="429">
      <c r="C429" s="1"/>
      <c r="E429" s="2"/>
      <c r="F429" s="2"/>
    </row>
    <row r="430">
      <c r="C430" s="1"/>
      <c r="E430" s="2"/>
      <c r="F430" s="2"/>
    </row>
    <row r="431">
      <c r="C431" s="1"/>
      <c r="E431" s="2"/>
      <c r="F431" s="2"/>
    </row>
    <row r="432">
      <c r="C432" s="1"/>
      <c r="E432" s="2"/>
      <c r="F432" s="2"/>
    </row>
    <row r="433">
      <c r="C433" s="1"/>
      <c r="E433" s="2"/>
      <c r="F433" s="2"/>
    </row>
    <row r="434">
      <c r="C434" s="1"/>
      <c r="E434" s="2"/>
      <c r="F434" s="2"/>
    </row>
    <row r="435">
      <c r="C435" s="1"/>
      <c r="E435" s="2"/>
      <c r="F435" s="2"/>
    </row>
    <row r="436">
      <c r="C436" s="1"/>
      <c r="E436" s="2"/>
      <c r="F436" s="2"/>
    </row>
    <row r="437">
      <c r="C437" s="1"/>
      <c r="E437" s="2"/>
      <c r="F437" s="2"/>
    </row>
    <row r="438">
      <c r="C438" s="1"/>
      <c r="E438" s="2"/>
      <c r="F438" s="2"/>
    </row>
    <row r="439">
      <c r="C439" s="1"/>
      <c r="E439" s="2"/>
      <c r="F439" s="2"/>
    </row>
    <row r="440">
      <c r="C440" s="1"/>
      <c r="E440" s="2"/>
      <c r="F440" s="2"/>
    </row>
    <row r="441">
      <c r="C441" s="1"/>
      <c r="E441" s="2"/>
      <c r="F441" s="2"/>
    </row>
    <row r="442">
      <c r="C442" s="1"/>
      <c r="E442" s="2"/>
      <c r="F442" s="2"/>
    </row>
    <row r="443">
      <c r="C443" s="1"/>
      <c r="E443" s="2"/>
      <c r="F443" s="2"/>
    </row>
    <row r="444">
      <c r="C444" s="1"/>
      <c r="E444" s="2"/>
      <c r="F444" s="2"/>
    </row>
    <row r="445">
      <c r="C445" s="1"/>
      <c r="E445" s="2"/>
      <c r="F445" s="2"/>
    </row>
    <row r="446">
      <c r="C446" s="1"/>
      <c r="E446" s="2"/>
      <c r="F446" s="2"/>
    </row>
    <row r="447">
      <c r="C447" s="1"/>
      <c r="E447" s="2"/>
      <c r="F447" s="2"/>
    </row>
    <row r="448">
      <c r="C448" s="1"/>
      <c r="E448" s="2"/>
      <c r="F448" s="2"/>
    </row>
    <row r="449">
      <c r="C449" s="1"/>
      <c r="E449" s="2"/>
      <c r="F449" s="2"/>
    </row>
    <row r="450">
      <c r="C450" s="1"/>
      <c r="E450" s="2"/>
      <c r="F450" s="2"/>
    </row>
    <row r="451">
      <c r="C451" s="1"/>
      <c r="E451" s="2"/>
      <c r="F451" s="2"/>
    </row>
    <row r="452">
      <c r="C452" s="1"/>
      <c r="E452" s="2"/>
      <c r="F452" s="2"/>
    </row>
    <row r="453">
      <c r="C453" s="1"/>
      <c r="E453" s="2"/>
      <c r="F453" s="2"/>
    </row>
    <row r="454">
      <c r="C454" s="1"/>
      <c r="E454" s="2"/>
      <c r="F454" s="2"/>
    </row>
    <row r="455">
      <c r="C455" s="1"/>
      <c r="E455" s="2"/>
      <c r="F455" s="2"/>
    </row>
    <row r="456">
      <c r="C456" s="1"/>
      <c r="E456" s="2"/>
      <c r="F456" s="2"/>
    </row>
    <row r="457">
      <c r="C457" s="1"/>
      <c r="E457" s="2"/>
      <c r="F457" s="2"/>
    </row>
    <row r="458">
      <c r="C458" s="1"/>
      <c r="E458" s="2"/>
      <c r="F458" s="2"/>
    </row>
    <row r="459">
      <c r="C459" s="1"/>
      <c r="E459" s="2"/>
      <c r="F459" s="2"/>
    </row>
    <row r="460">
      <c r="C460" s="1"/>
      <c r="E460" s="2"/>
      <c r="F460" s="2"/>
    </row>
    <row r="461">
      <c r="C461" s="1"/>
      <c r="E461" s="2"/>
      <c r="F461" s="2"/>
    </row>
    <row r="462">
      <c r="C462" s="1"/>
      <c r="E462" s="2"/>
      <c r="F462" s="2"/>
    </row>
    <row r="463">
      <c r="C463" s="1"/>
      <c r="E463" s="2"/>
      <c r="F463" s="2"/>
    </row>
    <row r="464">
      <c r="C464" s="1"/>
      <c r="E464" s="2"/>
      <c r="F464" s="2"/>
    </row>
    <row r="465">
      <c r="C465" s="1"/>
      <c r="E465" s="2"/>
      <c r="F465" s="2"/>
    </row>
    <row r="466">
      <c r="C466" s="1"/>
      <c r="E466" s="2"/>
      <c r="F466" s="2"/>
    </row>
    <row r="467">
      <c r="C467" s="1"/>
      <c r="E467" s="2"/>
      <c r="F467" s="2"/>
    </row>
    <row r="468">
      <c r="C468" s="1"/>
      <c r="E468" s="2"/>
      <c r="F468" s="2"/>
    </row>
    <row r="469">
      <c r="C469" s="1"/>
      <c r="E469" s="2"/>
      <c r="F469" s="2"/>
    </row>
    <row r="470">
      <c r="C470" s="1"/>
      <c r="E470" s="2"/>
      <c r="F470" s="2"/>
    </row>
    <row r="471">
      <c r="C471" s="1"/>
      <c r="E471" s="2"/>
      <c r="F471" s="2"/>
    </row>
    <row r="472">
      <c r="C472" s="1"/>
      <c r="E472" s="2"/>
      <c r="F472" s="2"/>
    </row>
    <row r="473">
      <c r="C473" s="1"/>
      <c r="E473" s="2"/>
      <c r="F473" s="2"/>
    </row>
    <row r="474">
      <c r="C474" s="1"/>
      <c r="E474" s="2"/>
      <c r="F474" s="2"/>
    </row>
    <row r="475">
      <c r="C475" s="1"/>
      <c r="E475" s="2"/>
      <c r="F475" s="2"/>
    </row>
    <row r="476">
      <c r="C476" s="1"/>
      <c r="E476" s="2"/>
      <c r="F476" s="2"/>
    </row>
    <row r="477">
      <c r="C477" s="1"/>
      <c r="E477" s="2"/>
      <c r="F477" s="2"/>
    </row>
    <row r="478">
      <c r="C478" s="1"/>
      <c r="E478" s="2"/>
      <c r="F478" s="2"/>
    </row>
    <row r="479">
      <c r="C479" s="1"/>
      <c r="E479" s="2"/>
      <c r="F479" s="2"/>
    </row>
    <row r="480">
      <c r="C480" s="1"/>
      <c r="E480" s="2"/>
      <c r="F480" s="2"/>
    </row>
    <row r="481">
      <c r="C481" s="1"/>
      <c r="E481" s="2"/>
      <c r="F481" s="2"/>
    </row>
    <row r="482">
      <c r="C482" s="1"/>
      <c r="E482" s="2"/>
      <c r="F482" s="2"/>
    </row>
    <row r="483">
      <c r="C483" s="1"/>
      <c r="E483" s="2"/>
      <c r="F483" s="2"/>
    </row>
    <row r="484">
      <c r="C484" s="1"/>
      <c r="E484" s="2"/>
      <c r="F484" s="2"/>
    </row>
    <row r="485">
      <c r="C485" s="1"/>
      <c r="E485" s="2"/>
      <c r="F485" s="2"/>
    </row>
    <row r="486">
      <c r="C486" s="1"/>
      <c r="E486" s="2"/>
      <c r="F486" s="2"/>
    </row>
    <row r="487">
      <c r="C487" s="1"/>
      <c r="E487" s="2"/>
      <c r="F487" s="2"/>
    </row>
    <row r="488">
      <c r="C488" s="1"/>
      <c r="E488" s="2"/>
      <c r="F488" s="2"/>
    </row>
    <row r="489">
      <c r="C489" s="1"/>
      <c r="E489" s="2"/>
      <c r="F489" s="2"/>
    </row>
    <row r="490">
      <c r="C490" s="1"/>
      <c r="E490" s="2"/>
      <c r="F490" s="2"/>
    </row>
    <row r="491">
      <c r="C491" s="1"/>
      <c r="E491" s="2"/>
      <c r="F491" s="2"/>
    </row>
    <row r="492">
      <c r="C492" s="1"/>
      <c r="E492" s="2"/>
      <c r="F492" s="2"/>
    </row>
    <row r="493">
      <c r="C493" s="1"/>
      <c r="E493" s="2"/>
      <c r="F493" s="2"/>
    </row>
    <row r="494">
      <c r="C494" s="1"/>
      <c r="E494" s="2"/>
      <c r="F494" s="2"/>
    </row>
    <row r="495">
      <c r="C495" s="1"/>
      <c r="E495" s="2"/>
      <c r="F495" s="2"/>
    </row>
    <row r="496">
      <c r="C496" s="1"/>
      <c r="E496" s="2"/>
      <c r="F496" s="2"/>
    </row>
    <row r="497">
      <c r="C497" s="1"/>
      <c r="E497" s="2"/>
      <c r="F497" s="2"/>
    </row>
    <row r="498">
      <c r="C498" s="1"/>
      <c r="E498" s="2"/>
      <c r="F498" s="2"/>
    </row>
    <row r="499">
      <c r="C499" s="1"/>
      <c r="E499" s="2"/>
      <c r="F499" s="2"/>
    </row>
    <row r="500">
      <c r="C500" s="1"/>
      <c r="E500" s="2"/>
      <c r="F500" s="2"/>
    </row>
    <row r="501">
      <c r="C501" s="1"/>
      <c r="E501" s="2"/>
      <c r="F501" s="2"/>
    </row>
    <row r="502">
      <c r="C502" s="1"/>
      <c r="E502" s="2"/>
      <c r="F502" s="2"/>
    </row>
    <row r="503">
      <c r="C503" s="1"/>
      <c r="E503" s="2"/>
      <c r="F503" s="2"/>
    </row>
    <row r="504">
      <c r="C504" s="1"/>
      <c r="E504" s="2"/>
      <c r="F504" s="2"/>
    </row>
    <row r="505">
      <c r="C505" s="1"/>
      <c r="E505" s="2"/>
      <c r="F505" s="2"/>
    </row>
    <row r="506">
      <c r="C506" s="1"/>
      <c r="E506" s="2"/>
      <c r="F506" s="2"/>
    </row>
    <row r="507">
      <c r="C507" s="1"/>
      <c r="E507" s="2"/>
      <c r="F507" s="2"/>
    </row>
    <row r="508">
      <c r="C508" s="1"/>
      <c r="E508" s="2"/>
      <c r="F508" s="2"/>
    </row>
    <row r="509">
      <c r="C509" s="1"/>
      <c r="E509" s="2"/>
      <c r="F509" s="2"/>
    </row>
    <row r="510">
      <c r="C510" s="1"/>
      <c r="E510" s="2"/>
      <c r="F510" s="2"/>
    </row>
    <row r="511">
      <c r="C511" s="1"/>
      <c r="E511" s="2"/>
      <c r="F511" s="2"/>
    </row>
    <row r="512">
      <c r="C512" s="1"/>
      <c r="E512" s="2"/>
      <c r="F512" s="2"/>
    </row>
    <row r="513">
      <c r="C513" s="1"/>
      <c r="E513" s="2"/>
      <c r="F513" s="2"/>
    </row>
    <row r="514">
      <c r="C514" s="1"/>
      <c r="E514" s="2"/>
      <c r="F514" s="2"/>
    </row>
    <row r="515">
      <c r="C515" s="1"/>
      <c r="E515" s="2"/>
      <c r="F515" s="2"/>
    </row>
    <row r="516">
      <c r="C516" s="1"/>
      <c r="E516" s="2"/>
      <c r="F516" s="2"/>
    </row>
    <row r="517">
      <c r="C517" s="1"/>
      <c r="E517" s="2"/>
      <c r="F517" s="2"/>
    </row>
    <row r="518">
      <c r="C518" s="1"/>
      <c r="E518" s="2"/>
      <c r="F518" s="2"/>
    </row>
    <row r="519">
      <c r="C519" s="1"/>
      <c r="E519" s="2"/>
      <c r="F519" s="2"/>
    </row>
    <row r="520">
      <c r="C520" s="1"/>
      <c r="E520" s="2"/>
      <c r="F520" s="2"/>
    </row>
    <row r="521">
      <c r="C521" s="1"/>
      <c r="E521" s="2"/>
      <c r="F521" s="2"/>
    </row>
    <row r="522">
      <c r="C522" s="1"/>
      <c r="E522" s="2"/>
      <c r="F522" s="2"/>
    </row>
    <row r="523">
      <c r="C523" s="1"/>
      <c r="E523" s="2"/>
      <c r="F523" s="2"/>
    </row>
    <row r="524">
      <c r="C524" s="1"/>
      <c r="E524" s="2"/>
      <c r="F524" s="2"/>
    </row>
    <row r="525">
      <c r="C525" s="1"/>
      <c r="E525" s="2"/>
      <c r="F525" s="2"/>
    </row>
    <row r="526">
      <c r="C526" s="1"/>
      <c r="E526" s="2"/>
      <c r="F526" s="2"/>
    </row>
    <row r="527">
      <c r="C527" s="1"/>
      <c r="E527" s="2"/>
      <c r="F527" s="2"/>
    </row>
    <row r="528">
      <c r="C528" s="1"/>
      <c r="E528" s="2"/>
      <c r="F528" s="2"/>
    </row>
    <row r="529">
      <c r="C529" s="1"/>
      <c r="E529" s="2"/>
      <c r="F529" s="2"/>
    </row>
    <row r="530">
      <c r="C530" s="1"/>
      <c r="E530" s="2"/>
      <c r="F530" s="2"/>
    </row>
    <row r="531">
      <c r="C531" s="1"/>
      <c r="E531" s="2"/>
      <c r="F531" s="2"/>
    </row>
    <row r="532">
      <c r="C532" s="1"/>
      <c r="E532" s="2"/>
      <c r="F532" s="2"/>
    </row>
    <row r="533">
      <c r="C533" s="1"/>
      <c r="E533" s="2"/>
      <c r="F533" s="2"/>
    </row>
    <row r="534">
      <c r="C534" s="1"/>
      <c r="E534" s="2"/>
      <c r="F534" s="2"/>
    </row>
    <row r="535">
      <c r="C535" s="1"/>
      <c r="E535" s="2"/>
      <c r="F535" s="2"/>
    </row>
    <row r="536">
      <c r="C536" s="1"/>
      <c r="E536" s="2"/>
      <c r="F536" s="2"/>
    </row>
    <row r="537">
      <c r="C537" s="1"/>
      <c r="E537" s="2"/>
      <c r="F537" s="2"/>
    </row>
    <row r="538">
      <c r="C538" s="1"/>
      <c r="E538" s="2"/>
      <c r="F538" s="2"/>
    </row>
    <row r="539">
      <c r="C539" s="1"/>
      <c r="E539" s="2"/>
      <c r="F539" s="2"/>
    </row>
    <row r="540">
      <c r="C540" s="1"/>
      <c r="E540" s="2"/>
      <c r="F540" s="2"/>
    </row>
    <row r="541">
      <c r="C541" s="1"/>
      <c r="E541" s="2"/>
      <c r="F541" s="2"/>
    </row>
    <row r="542">
      <c r="C542" s="1"/>
      <c r="E542" s="2"/>
      <c r="F542" s="2"/>
    </row>
    <row r="543">
      <c r="C543" s="1"/>
      <c r="E543" s="2"/>
      <c r="F543" s="2"/>
    </row>
    <row r="544">
      <c r="C544" s="1"/>
      <c r="E544" s="2"/>
      <c r="F544" s="2"/>
    </row>
    <row r="545">
      <c r="C545" s="1"/>
      <c r="E545" s="2"/>
      <c r="F545" s="2"/>
    </row>
    <row r="546">
      <c r="C546" s="1"/>
      <c r="E546" s="2"/>
      <c r="F546" s="2"/>
    </row>
    <row r="547">
      <c r="C547" s="1"/>
      <c r="E547" s="2"/>
      <c r="F547" s="2"/>
    </row>
    <row r="548">
      <c r="C548" s="1"/>
      <c r="E548" s="2"/>
      <c r="F548" s="2"/>
    </row>
    <row r="549">
      <c r="C549" s="1"/>
      <c r="E549" s="2"/>
      <c r="F549" s="2"/>
    </row>
    <row r="550">
      <c r="C550" s="1"/>
      <c r="E550" s="2"/>
      <c r="F550" s="2"/>
    </row>
    <row r="551">
      <c r="C551" s="1"/>
      <c r="E551" s="2"/>
      <c r="F551" s="2"/>
    </row>
    <row r="552">
      <c r="C552" s="1"/>
      <c r="E552" s="2"/>
      <c r="F552" s="2"/>
    </row>
    <row r="553">
      <c r="C553" s="1"/>
      <c r="E553" s="2"/>
      <c r="F553" s="2"/>
    </row>
    <row r="554">
      <c r="C554" s="1"/>
      <c r="E554" s="2"/>
      <c r="F554" s="2"/>
    </row>
    <row r="555">
      <c r="C555" s="1"/>
      <c r="E555" s="2"/>
      <c r="F555" s="2"/>
    </row>
    <row r="556">
      <c r="C556" s="1"/>
      <c r="E556" s="2"/>
      <c r="F556" s="2"/>
    </row>
    <row r="557">
      <c r="C557" s="1"/>
      <c r="E557" s="2"/>
      <c r="F557" s="2"/>
    </row>
    <row r="558">
      <c r="C558" s="1"/>
      <c r="E558" s="2"/>
      <c r="F558" s="2"/>
    </row>
    <row r="559">
      <c r="C559" s="1"/>
      <c r="E559" s="2"/>
      <c r="F559" s="2"/>
    </row>
    <row r="560">
      <c r="C560" s="1"/>
      <c r="E560" s="2"/>
      <c r="F560" s="2"/>
    </row>
    <row r="561">
      <c r="C561" s="1"/>
      <c r="E561" s="2"/>
      <c r="F561" s="2"/>
    </row>
    <row r="562">
      <c r="C562" s="1"/>
      <c r="E562" s="2"/>
      <c r="F562" s="2"/>
    </row>
    <row r="563">
      <c r="C563" s="1"/>
      <c r="E563" s="2"/>
      <c r="F563" s="2"/>
    </row>
    <row r="564">
      <c r="C564" s="1"/>
      <c r="E564" s="2"/>
      <c r="F564" s="2"/>
    </row>
    <row r="565">
      <c r="C565" s="1"/>
      <c r="E565" s="2"/>
      <c r="F565" s="2"/>
    </row>
    <row r="566">
      <c r="C566" s="1"/>
      <c r="E566" s="2"/>
      <c r="F566" s="2"/>
    </row>
    <row r="567">
      <c r="C567" s="1"/>
      <c r="E567" s="2"/>
      <c r="F567" s="2"/>
    </row>
    <row r="568">
      <c r="C568" s="1"/>
      <c r="E568" s="2"/>
      <c r="F568" s="2"/>
    </row>
    <row r="569">
      <c r="C569" s="1"/>
      <c r="E569" s="2"/>
      <c r="F569" s="2"/>
    </row>
    <row r="570">
      <c r="C570" s="1"/>
      <c r="E570" s="2"/>
      <c r="F570" s="2"/>
    </row>
    <row r="571">
      <c r="C571" s="1"/>
      <c r="E571" s="2"/>
      <c r="F571" s="2"/>
    </row>
    <row r="572">
      <c r="C572" s="1"/>
      <c r="E572" s="2"/>
      <c r="F572" s="2"/>
    </row>
    <row r="573">
      <c r="C573" s="1"/>
      <c r="E573" s="2"/>
      <c r="F573" s="2"/>
    </row>
    <row r="574">
      <c r="C574" s="1"/>
      <c r="E574" s="2"/>
      <c r="F574" s="2"/>
    </row>
    <row r="575">
      <c r="C575" s="1"/>
      <c r="E575" s="2"/>
      <c r="F575" s="2"/>
    </row>
    <row r="576">
      <c r="C576" s="1"/>
      <c r="E576" s="2"/>
      <c r="F576" s="2"/>
    </row>
    <row r="577">
      <c r="C577" s="1"/>
      <c r="E577" s="2"/>
      <c r="F577" s="2"/>
    </row>
    <row r="578">
      <c r="C578" s="1"/>
      <c r="E578" s="2"/>
      <c r="F578" s="2"/>
    </row>
    <row r="579">
      <c r="C579" s="1"/>
      <c r="E579" s="2"/>
      <c r="F579" s="2"/>
    </row>
    <row r="580">
      <c r="C580" s="1"/>
      <c r="E580" s="2"/>
      <c r="F580" s="2"/>
    </row>
    <row r="581">
      <c r="C581" s="1"/>
      <c r="E581" s="2"/>
      <c r="F581" s="2"/>
    </row>
    <row r="582">
      <c r="C582" s="1"/>
      <c r="E582" s="2"/>
      <c r="F582" s="2"/>
    </row>
    <row r="583">
      <c r="C583" s="1"/>
      <c r="E583" s="2"/>
      <c r="F583" s="2"/>
    </row>
    <row r="584">
      <c r="C584" s="1"/>
      <c r="E584" s="2"/>
      <c r="F584" s="2"/>
    </row>
    <row r="585">
      <c r="C585" s="1"/>
      <c r="E585" s="2"/>
      <c r="F585" s="2"/>
    </row>
    <row r="586">
      <c r="C586" s="1"/>
      <c r="E586" s="2"/>
      <c r="F586" s="2"/>
    </row>
    <row r="587">
      <c r="C587" s="1"/>
      <c r="E587" s="2"/>
      <c r="F587" s="2"/>
    </row>
    <row r="588">
      <c r="C588" s="1"/>
      <c r="E588" s="2"/>
      <c r="F588" s="2"/>
    </row>
    <row r="589">
      <c r="C589" s="1"/>
      <c r="E589" s="2"/>
      <c r="F589" s="2"/>
    </row>
    <row r="590">
      <c r="C590" s="1"/>
      <c r="E590" s="2"/>
      <c r="F590" s="2"/>
    </row>
    <row r="591">
      <c r="C591" s="1"/>
      <c r="E591" s="2"/>
      <c r="F591" s="2"/>
    </row>
    <row r="592">
      <c r="C592" s="1"/>
      <c r="E592" s="2"/>
      <c r="F592" s="2"/>
    </row>
    <row r="593">
      <c r="C593" s="1"/>
      <c r="E593" s="2"/>
      <c r="F593" s="2"/>
    </row>
    <row r="594">
      <c r="C594" s="1"/>
      <c r="E594" s="2"/>
      <c r="F594" s="2"/>
    </row>
    <row r="595">
      <c r="C595" s="1"/>
      <c r="E595" s="2"/>
      <c r="F595" s="2"/>
    </row>
    <row r="596">
      <c r="C596" s="1"/>
      <c r="E596" s="2"/>
      <c r="F596" s="2"/>
    </row>
    <row r="597">
      <c r="C597" s="1"/>
      <c r="E597" s="2"/>
      <c r="F597" s="2"/>
    </row>
    <row r="598">
      <c r="C598" s="1"/>
      <c r="E598" s="2"/>
      <c r="F598" s="2"/>
    </row>
    <row r="599">
      <c r="C599" s="1"/>
      <c r="E599" s="2"/>
      <c r="F599" s="2"/>
    </row>
    <row r="600">
      <c r="C600" s="1"/>
      <c r="E600" s="2"/>
      <c r="F600" s="2"/>
    </row>
    <row r="601">
      <c r="C601" s="1"/>
      <c r="E601" s="2"/>
      <c r="F601" s="2"/>
    </row>
    <row r="602">
      <c r="C602" s="1"/>
      <c r="E602" s="2"/>
      <c r="F602" s="2"/>
    </row>
    <row r="603">
      <c r="C603" s="1"/>
      <c r="E603" s="2"/>
      <c r="F603" s="2"/>
    </row>
    <row r="604">
      <c r="C604" s="1"/>
      <c r="E604" s="2"/>
      <c r="F604" s="2"/>
    </row>
    <row r="605">
      <c r="C605" s="1"/>
      <c r="E605" s="2"/>
      <c r="F605" s="2"/>
    </row>
    <row r="606">
      <c r="C606" s="1"/>
      <c r="E606" s="2"/>
      <c r="F606" s="2"/>
    </row>
    <row r="607">
      <c r="C607" s="1"/>
      <c r="E607" s="2"/>
      <c r="F607" s="2"/>
    </row>
    <row r="608">
      <c r="C608" s="1"/>
      <c r="E608" s="2"/>
      <c r="F608" s="2"/>
    </row>
    <row r="609">
      <c r="C609" s="1"/>
      <c r="E609" s="2"/>
      <c r="F609" s="2"/>
    </row>
    <row r="610">
      <c r="C610" s="1"/>
      <c r="E610" s="2"/>
      <c r="F610" s="2"/>
    </row>
    <row r="611">
      <c r="C611" s="1"/>
      <c r="E611" s="2"/>
      <c r="F611" s="2"/>
    </row>
    <row r="612">
      <c r="C612" s="1"/>
      <c r="E612" s="2"/>
      <c r="F612" s="2"/>
    </row>
    <row r="613">
      <c r="C613" s="1"/>
      <c r="E613" s="2"/>
      <c r="F613" s="2"/>
    </row>
    <row r="614">
      <c r="C614" s="1"/>
      <c r="E614" s="2"/>
      <c r="F614" s="2"/>
    </row>
    <row r="615">
      <c r="C615" s="1"/>
      <c r="E615" s="2"/>
      <c r="F615" s="2"/>
    </row>
    <row r="616">
      <c r="C616" s="1"/>
      <c r="E616" s="2"/>
      <c r="F616" s="2"/>
    </row>
    <row r="617">
      <c r="C617" s="1"/>
      <c r="E617" s="2"/>
      <c r="F617" s="2"/>
    </row>
    <row r="618">
      <c r="C618" s="1"/>
      <c r="E618" s="2"/>
      <c r="F618" s="2"/>
    </row>
    <row r="619">
      <c r="C619" s="1"/>
      <c r="E619" s="2"/>
      <c r="F619" s="2"/>
    </row>
    <row r="620">
      <c r="C620" s="1"/>
      <c r="E620" s="2"/>
      <c r="F620" s="2"/>
    </row>
    <row r="621">
      <c r="C621" s="1"/>
      <c r="E621" s="2"/>
      <c r="F621" s="2"/>
    </row>
    <row r="622">
      <c r="C622" s="1"/>
      <c r="E622" s="2"/>
      <c r="F622" s="2"/>
    </row>
    <row r="623">
      <c r="C623" s="1"/>
      <c r="E623" s="2"/>
      <c r="F623" s="2"/>
    </row>
    <row r="624">
      <c r="C624" s="1"/>
      <c r="E624" s="2"/>
      <c r="F624" s="2"/>
    </row>
    <row r="625">
      <c r="C625" s="1"/>
      <c r="E625" s="2"/>
      <c r="F625" s="2"/>
    </row>
    <row r="626">
      <c r="C626" s="1"/>
      <c r="E626" s="2"/>
      <c r="F626" s="2"/>
    </row>
    <row r="627">
      <c r="C627" s="1"/>
      <c r="E627" s="2"/>
      <c r="F627" s="2"/>
    </row>
    <row r="628">
      <c r="C628" s="1"/>
      <c r="E628" s="2"/>
      <c r="F628" s="2"/>
    </row>
    <row r="629">
      <c r="C629" s="1"/>
      <c r="E629" s="2"/>
      <c r="F629" s="2"/>
    </row>
    <row r="630">
      <c r="C630" s="1"/>
      <c r="E630" s="2"/>
      <c r="F630" s="2"/>
    </row>
    <row r="631">
      <c r="C631" s="1"/>
      <c r="E631" s="2"/>
      <c r="F631" s="2"/>
    </row>
    <row r="632">
      <c r="C632" s="1"/>
      <c r="E632" s="2"/>
      <c r="F632" s="2"/>
    </row>
    <row r="633">
      <c r="C633" s="1"/>
      <c r="E633" s="2"/>
      <c r="F633" s="2"/>
    </row>
    <row r="634">
      <c r="C634" s="1"/>
      <c r="E634" s="2"/>
      <c r="F634" s="2"/>
    </row>
    <row r="635">
      <c r="C635" s="1"/>
      <c r="E635" s="2"/>
      <c r="F635" s="2"/>
    </row>
    <row r="636">
      <c r="C636" s="1"/>
      <c r="E636" s="2"/>
      <c r="F636" s="2"/>
    </row>
    <row r="637">
      <c r="C637" s="1"/>
      <c r="E637" s="2"/>
      <c r="F637" s="2"/>
    </row>
    <row r="638">
      <c r="C638" s="1"/>
      <c r="E638" s="2"/>
      <c r="F638" s="2"/>
    </row>
    <row r="639">
      <c r="C639" s="1"/>
      <c r="E639" s="2"/>
      <c r="F639" s="2"/>
    </row>
    <row r="640">
      <c r="C640" s="1"/>
      <c r="E640" s="2"/>
      <c r="F640" s="2"/>
    </row>
    <row r="641">
      <c r="C641" s="1"/>
      <c r="E641" s="2"/>
      <c r="F641" s="2"/>
    </row>
    <row r="642">
      <c r="C642" s="1"/>
      <c r="E642" s="2"/>
      <c r="F642" s="2"/>
    </row>
    <row r="643">
      <c r="C643" s="1"/>
      <c r="E643" s="2"/>
      <c r="F643" s="2"/>
    </row>
    <row r="644">
      <c r="C644" s="1"/>
      <c r="E644" s="2"/>
      <c r="F644" s="2"/>
    </row>
    <row r="645">
      <c r="C645" s="1"/>
      <c r="E645" s="2"/>
      <c r="F645" s="2"/>
    </row>
    <row r="646">
      <c r="C646" s="1"/>
      <c r="E646" s="2"/>
      <c r="F646" s="2"/>
    </row>
    <row r="647">
      <c r="C647" s="1"/>
      <c r="E647" s="2"/>
      <c r="F647" s="2"/>
    </row>
    <row r="648">
      <c r="C648" s="1"/>
      <c r="E648" s="2"/>
      <c r="F648" s="2"/>
    </row>
    <row r="649">
      <c r="C649" s="1"/>
      <c r="E649" s="2"/>
      <c r="F649" s="2"/>
    </row>
    <row r="650">
      <c r="C650" s="1"/>
      <c r="E650" s="2"/>
      <c r="F650" s="2"/>
    </row>
    <row r="651">
      <c r="C651" s="1"/>
      <c r="E651" s="2"/>
      <c r="F651" s="2"/>
    </row>
    <row r="652">
      <c r="C652" s="1"/>
      <c r="E652" s="2"/>
      <c r="F652" s="2"/>
    </row>
    <row r="653">
      <c r="C653" s="1"/>
      <c r="E653" s="2"/>
      <c r="F653" s="2"/>
    </row>
    <row r="654">
      <c r="C654" s="1"/>
      <c r="E654" s="2"/>
      <c r="F654" s="2"/>
    </row>
    <row r="655">
      <c r="C655" s="1"/>
      <c r="E655" s="2"/>
      <c r="F655" s="2"/>
    </row>
    <row r="656">
      <c r="C656" s="1"/>
      <c r="E656" s="2"/>
      <c r="F656" s="2"/>
    </row>
    <row r="657">
      <c r="C657" s="1"/>
      <c r="E657" s="2"/>
      <c r="F657" s="2"/>
    </row>
    <row r="658">
      <c r="C658" s="1"/>
      <c r="E658" s="2"/>
      <c r="F658" s="2"/>
    </row>
    <row r="659">
      <c r="C659" s="1"/>
      <c r="E659" s="2"/>
      <c r="F659" s="2"/>
    </row>
    <row r="660">
      <c r="C660" s="1"/>
      <c r="E660" s="2"/>
      <c r="F660" s="2"/>
    </row>
    <row r="661">
      <c r="C661" s="1"/>
      <c r="E661" s="2"/>
      <c r="F661" s="2"/>
    </row>
    <row r="662">
      <c r="C662" s="1"/>
      <c r="E662" s="2"/>
      <c r="F662" s="2"/>
    </row>
    <row r="663">
      <c r="C663" s="1"/>
      <c r="E663" s="2"/>
      <c r="F663" s="2"/>
    </row>
    <row r="664">
      <c r="C664" s="1"/>
      <c r="E664" s="2"/>
      <c r="F664" s="2"/>
    </row>
    <row r="665">
      <c r="C665" s="1"/>
      <c r="E665" s="2"/>
      <c r="F665" s="2"/>
    </row>
    <row r="666">
      <c r="C666" s="1"/>
      <c r="E666" s="2"/>
      <c r="F666" s="2"/>
    </row>
    <row r="667">
      <c r="C667" s="1"/>
      <c r="E667" s="2"/>
      <c r="F667" s="2"/>
    </row>
    <row r="668">
      <c r="C668" s="1"/>
      <c r="E668" s="2"/>
      <c r="F668" s="2"/>
    </row>
    <row r="669">
      <c r="C669" s="1"/>
      <c r="E669" s="2"/>
      <c r="F669" s="2"/>
    </row>
    <row r="670">
      <c r="C670" s="1"/>
      <c r="E670" s="2"/>
      <c r="F670" s="2"/>
    </row>
    <row r="671">
      <c r="C671" s="1"/>
      <c r="E671" s="2"/>
      <c r="F671" s="2"/>
    </row>
    <row r="672">
      <c r="C672" s="1"/>
      <c r="E672" s="2"/>
      <c r="F672" s="2"/>
    </row>
    <row r="673">
      <c r="C673" s="1"/>
      <c r="E673" s="2"/>
      <c r="F673" s="2"/>
    </row>
    <row r="674">
      <c r="C674" s="1"/>
      <c r="E674" s="2"/>
      <c r="F674" s="2"/>
    </row>
    <row r="675">
      <c r="C675" s="1"/>
      <c r="E675" s="2"/>
      <c r="F675" s="2"/>
    </row>
    <row r="676">
      <c r="C676" s="1"/>
      <c r="E676" s="2"/>
      <c r="F676" s="2"/>
    </row>
    <row r="677">
      <c r="C677" s="1"/>
      <c r="E677" s="2"/>
      <c r="F677" s="2"/>
    </row>
    <row r="678">
      <c r="C678" s="1"/>
      <c r="E678" s="2"/>
      <c r="F678" s="2"/>
    </row>
    <row r="679">
      <c r="C679" s="1"/>
      <c r="E679" s="2"/>
      <c r="F679" s="2"/>
    </row>
    <row r="680">
      <c r="C680" s="1"/>
      <c r="E680" s="2"/>
      <c r="F680" s="2"/>
    </row>
    <row r="681">
      <c r="C681" s="1"/>
      <c r="E681" s="2"/>
      <c r="F681" s="2"/>
    </row>
    <row r="682">
      <c r="C682" s="1"/>
      <c r="E682" s="2"/>
      <c r="F682" s="2"/>
    </row>
    <row r="683">
      <c r="C683" s="1"/>
      <c r="E683" s="2"/>
      <c r="F683" s="2"/>
    </row>
    <row r="684">
      <c r="C684" s="1"/>
      <c r="E684" s="2"/>
      <c r="F684" s="2"/>
    </row>
    <row r="685">
      <c r="C685" s="1"/>
      <c r="E685" s="2"/>
      <c r="F685" s="2"/>
    </row>
    <row r="686">
      <c r="C686" s="1"/>
      <c r="E686" s="2"/>
      <c r="F686" s="2"/>
    </row>
    <row r="687">
      <c r="C687" s="1"/>
      <c r="E687" s="2"/>
      <c r="F687" s="2"/>
    </row>
    <row r="688">
      <c r="C688" s="1"/>
      <c r="E688" s="2"/>
      <c r="F688" s="2"/>
    </row>
    <row r="689">
      <c r="C689" s="1"/>
      <c r="E689" s="2"/>
      <c r="F689" s="2"/>
    </row>
    <row r="690">
      <c r="C690" s="1"/>
      <c r="E690" s="2"/>
      <c r="F690" s="2"/>
    </row>
    <row r="691">
      <c r="C691" s="1"/>
      <c r="E691" s="2"/>
      <c r="F691" s="2"/>
    </row>
    <row r="692">
      <c r="C692" s="1"/>
      <c r="E692" s="2"/>
      <c r="F692" s="2"/>
    </row>
    <row r="693">
      <c r="C693" s="1"/>
      <c r="E693" s="2"/>
      <c r="F693" s="2"/>
    </row>
    <row r="694">
      <c r="C694" s="1"/>
      <c r="E694" s="2"/>
      <c r="F694" s="2"/>
    </row>
    <row r="695">
      <c r="C695" s="1"/>
      <c r="E695" s="2"/>
      <c r="F695" s="2"/>
    </row>
    <row r="696">
      <c r="C696" s="1"/>
      <c r="E696" s="2"/>
      <c r="F696" s="2"/>
    </row>
    <row r="697">
      <c r="C697" s="1"/>
      <c r="E697" s="2"/>
      <c r="F697" s="2"/>
    </row>
    <row r="698">
      <c r="C698" s="1"/>
      <c r="E698" s="2"/>
      <c r="F698" s="2"/>
    </row>
    <row r="699">
      <c r="C699" s="1"/>
      <c r="E699" s="2"/>
      <c r="F699" s="2"/>
    </row>
    <row r="700">
      <c r="C700" s="1"/>
      <c r="E700" s="2"/>
      <c r="F700" s="2"/>
    </row>
    <row r="701">
      <c r="C701" s="1"/>
      <c r="E701" s="2"/>
      <c r="F701" s="2"/>
    </row>
    <row r="702">
      <c r="C702" s="1"/>
      <c r="E702" s="2"/>
      <c r="F702" s="2"/>
    </row>
    <row r="703">
      <c r="C703" s="1"/>
      <c r="E703" s="2"/>
      <c r="F703" s="2"/>
    </row>
    <row r="704">
      <c r="C704" s="1"/>
      <c r="E704" s="2"/>
      <c r="F704" s="2"/>
    </row>
    <row r="705">
      <c r="C705" s="1"/>
      <c r="E705" s="2"/>
      <c r="F705" s="2"/>
    </row>
    <row r="706">
      <c r="C706" s="1"/>
      <c r="E706" s="2"/>
      <c r="F706" s="2"/>
    </row>
    <row r="707">
      <c r="C707" s="1"/>
      <c r="E707" s="2"/>
      <c r="F707" s="2"/>
    </row>
    <row r="708">
      <c r="C708" s="1"/>
      <c r="E708" s="2"/>
      <c r="F708" s="2"/>
    </row>
    <row r="709">
      <c r="C709" s="1"/>
      <c r="E709" s="2"/>
      <c r="F709" s="2"/>
    </row>
    <row r="710">
      <c r="C710" s="1"/>
      <c r="E710" s="2"/>
      <c r="F710" s="2"/>
    </row>
    <row r="711">
      <c r="C711" s="1"/>
      <c r="E711" s="2"/>
      <c r="F711" s="2"/>
    </row>
    <row r="712">
      <c r="C712" s="1"/>
      <c r="E712" s="2"/>
      <c r="F712" s="2"/>
    </row>
    <row r="713">
      <c r="C713" s="1"/>
      <c r="E713" s="2"/>
      <c r="F713" s="2"/>
    </row>
    <row r="714">
      <c r="C714" s="1"/>
      <c r="E714" s="2"/>
      <c r="F714" s="2"/>
    </row>
    <row r="715">
      <c r="C715" s="1"/>
      <c r="E715" s="2"/>
      <c r="F715" s="2"/>
    </row>
    <row r="716">
      <c r="C716" s="1"/>
      <c r="E716" s="2"/>
      <c r="F716" s="2"/>
    </row>
    <row r="717">
      <c r="C717" s="1"/>
      <c r="E717" s="2"/>
      <c r="F717" s="2"/>
    </row>
    <row r="718">
      <c r="C718" s="1"/>
      <c r="E718" s="2"/>
      <c r="F718" s="2"/>
    </row>
    <row r="719">
      <c r="C719" s="1"/>
      <c r="E719" s="2"/>
      <c r="F719" s="2"/>
    </row>
    <row r="720">
      <c r="C720" s="1"/>
      <c r="E720" s="2"/>
      <c r="F720" s="2"/>
    </row>
    <row r="721">
      <c r="C721" s="1"/>
      <c r="E721" s="2"/>
      <c r="F721" s="2"/>
    </row>
    <row r="722">
      <c r="C722" s="1"/>
      <c r="E722" s="2"/>
      <c r="F722" s="2"/>
    </row>
    <row r="723">
      <c r="C723" s="1"/>
      <c r="E723" s="2"/>
      <c r="F723" s="2"/>
    </row>
    <row r="724">
      <c r="C724" s="1"/>
      <c r="E724" s="2"/>
      <c r="F724" s="2"/>
    </row>
    <row r="725">
      <c r="C725" s="1"/>
      <c r="E725" s="2"/>
      <c r="F725" s="2"/>
    </row>
    <row r="726">
      <c r="C726" s="1"/>
      <c r="E726" s="2"/>
      <c r="F726" s="2"/>
    </row>
    <row r="727">
      <c r="C727" s="1"/>
      <c r="E727" s="2"/>
      <c r="F727" s="2"/>
    </row>
    <row r="728">
      <c r="C728" s="1"/>
      <c r="E728" s="2"/>
      <c r="F728" s="2"/>
    </row>
    <row r="729">
      <c r="C729" s="1"/>
      <c r="E729" s="2"/>
      <c r="F729" s="2"/>
    </row>
    <row r="730">
      <c r="C730" s="1"/>
      <c r="E730" s="2"/>
      <c r="F730" s="2"/>
    </row>
    <row r="731">
      <c r="C731" s="1"/>
      <c r="E731" s="2"/>
      <c r="F731" s="2"/>
    </row>
    <row r="732">
      <c r="C732" s="1"/>
      <c r="E732" s="2"/>
      <c r="F732" s="2"/>
    </row>
    <row r="733">
      <c r="C733" s="1"/>
      <c r="E733" s="2"/>
      <c r="F733" s="2"/>
    </row>
    <row r="734">
      <c r="C734" s="1"/>
      <c r="E734" s="2"/>
      <c r="F734" s="2"/>
    </row>
    <row r="735">
      <c r="C735" s="1"/>
      <c r="E735" s="2"/>
      <c r="F735" s="2"/>
    </row>
    <row r="736">
      <c r="C736" s="1"/>
      <c r="E736" s="2"/>
      <c r="F736" s="2"/>
    </row>
    <row r="737">
      <c r="C737" s="1"/>
      <c r="E737" s="2"/>
      <c r="F737" s="2"/>
    </row>
    <row r="738">
      <c r="C738" s="1"/>
      <c r="E738" s="2"/>
      <c r="F738" s="2"/>
    </row>
    <row r="739">
      <c r="C739" s="1"/>
      <c r="E739" s="2"/>
      <c r="F739" s="2"/>
    </row>
    <row r="740">
      <c r="C740" s="1"/>
      <c r="E740" s="2"/>
      <c r="F740" s="2"/>
    </row>
    <row r="741">
      <c r="C741" s="1"/>
      <c r="E741" s="2"/>
      <c r="F741" s="2"/>
    </row>
    <row r="742">
      <c r="C742" s="1"/>
      <c r="E742" s="2"/>
      <c r="F742" s="2"/>
    </row>
    <row r="743">
      <c r="C743" s="1"/>
      <c r="E743" s="2"/>
      <c r="F743" s="2"/>
    </row>
    <row r="744">
      <c r="C744" s="1"/>
      <c r="E744" s="2"/>
      <c r="F744" s="2"/>
    </row>
    <row r="745">
      <c r="C745" s="1"/>
      <c r="E745" s="2"/>
      <c r="F745" s="2"/>
    </row>
    <row r="746">
      <c r="C746" s="1"/>
      <c r="E746" s="2"/>
      <c r="F746" s="2"/>
    </row>
    <row r="747">
      <c r="C747" s="1"/>
      <c r="E747" s="2"/>
      <c r="F747" s="2"/>
    </row>
    <row r="748">
      <c r="C748" s="1"/>
      <c r="E748" s="2"/>
      <c r="F748" s="2"/>
    </row>
    <row r="749">
      <c r="C749" s="1"/>
      <c r="E749" s="2"/>
      <c r="F749" s="2"/>
    </row>
    <row r="750">
      <c r="C750" s="1"/>
      <c r="E750" s="2"/>
      <c r="F750" s="2"/>
    </row>
    <row r="751">
      <c r="C751" s="1"/>
      <c r="E751" s="2"/>
      <c r="F751" s="2"/>
    </row>
    <row r="752">
      <c r="C752" s="1"/>
      <c r="E752" s="2"/>
      <c r="F752" s="2"/>
    </row>
    <row r="753">
      <c r="C753" s="1"/>
      <c r="E753" s="2"/>
      <c r="F753" s="2"/>
    </row>
    <row r="754">
      <c r="C754" s="1"/>
      <c r="E754" s="2"/>
      <c r="F754" s="2"/>
    </row>
    <row r="755">
      <c r="C755" s="1"/>
      <c r="E755" s="2"/>
      <c r="F755" s="2"/>
    </row>
    <row r="756">
      <c r="C756" s="1"/>
      <c r="E756" s="2"/>
      <c r="F756" s="2"/>
    </row>
    <row r="757">
      <c r="C757" s="1"/>
      <c r="E757" s="2"/>
      <c r="F757" s="2"/>
    </row>
    <row r="758">
      <c r="C758" s="1"/>
      <c r="E758" s="2"/>
      <c r="F758" s="2"/>
    </row>
    <row r="759">
      <c r="C759" s="1"/>
      <c r="E759" s="2"/>
      <c r="F759" s="2"/>
    </row>
    <row r="760">
      <c r="C760" s="1"/>
      <c r="E760" s="2"/>
      <c r="F760" s="2"/>
    </row>
    <row r="761">
      <c r="C761" s="1"/>
      <c r="E761" s="2"/>
      <c r="F761" s="2"/>
    </row>
    <row r="762">
      <c r="C762" s="1"/>
      <c r="E762" s="2"/>
      <c r="F762" s="2"/>
    </row>
    <row r="763">
      <c r="C763" s="1"/>
      <c r="E763" s="2"/>
      <c r="F763" s="2"/>
    </row>
    <row r="764">
      <c r="C764" s="1"/>
      <c r="E764" s="2"/>
      <c r="F764" s="2"/>
    </row>
    <row r="765">
      <c r="C765" s="1"/>
      <c r="E765" s="2"/>
      <c r="F765" s="2"/>
    </row>
    <row r="766">
      <c r="C766" s="1"/>
      <c r="E766" s="2"/>
      <c r="F766" s="2"/>
    </row>
    <row r="767">
      <c r="C767" s="1"/>
      <c r="E767" s="2"/>
      <c r="F767" s="2"/>
    </row>
    <row r="768">
      <c r="C768" s="1"/>
      <c r="E768" s="2"/>
      <c r="F768" s="2"/>
    </row>
    <row r="769">
      <c r="C769" s="1"/>
      <c r="E769" s="2"/>
      <c r="F769" s="2"/>
    </row>
    <row r="770">
      <c r="C770" s="1"/>
      <c r="E770" s="2"/>
      <c r="F770" s="2"/>
    </row>
    <row r="771">
      <c r="C771" s="1"/>
      <c r="E771" s="2"/>
      <c r="F771" s="2"/>
    </row>
    <row r="772">
      <c r="C772" s="1"/>
      <c r="E772" s="2"/>
      <c r="F772" s="2"/>
    </row>
    <row r="773">
      <c r="C773" s="1"/>
      <c r="E773" s="2"/>
      <c r="F773" s="2"/>
    </row>
    <row r="774">
      <c r="C774" s="1"/>
      <c r="E774" s="2"/>
      <c r="F774" s="2"/>
    </row>
    <row r="775">
      <c r="C775" s="1"/>
      <c r="E775" s="2"/>
      <c r="F775" s="2"/>
    </row>
    <row r="776">
      <c r="C776" s="1"/>
      <c r="E776" s="2"/>
      <c r="F776" s="2"/>
    </row>
    <row r="777">
      <c r="C777" s="1"/>
      <c r="E777" s="2"/>
      <c r="F777" s="2"/>
    </row>
    <row r="778">
      <c r="C778" s="1"/>
      <c r="E778" s="2"/>
      <c r="F778" s="2"/>
    </row>
    <row r="779">
      <c r="C779" s="1"/>
      <c r="E779" s="2"/>
      <c r="F779" s="2"/>
    </row>
    <row r="780">
      <c r="C780" s="1"/>
      <c r="E780" s="2"/>
      <c r="F780" s="2"/>
    </row>
    <row r="781">
      <c r="C781" s="1"/>
      <c r="E781" s="2"/>
      <c r="F781" s="2"/>
    </row>
    <row r="782">
      <c r="C782" s="1"/>
      <c r="E782" s="2"/>
      <c r="F782" s="2"/>
    </row>
    <row r="783">
      <c r="C783" s="1"/>
      <c r="E783" s="2"/>
      <c r="F783" s="2"/>
    </row>
    <row r="784">
      <c r="C784" s="1"/>
      <c r="E784" s="2"/>
      <c r="F784" s="2"/>
    </row>
    <row r="785">
      <c r="C785" s="1"/>
      <c r="E785" s="2"/>
      <c r="F785" s="2"/>
    </row>
    <row r="786">
      <c r="C786" s="1"/>
      <c r="E786" s="2"/>
      <c r="F786" s="2"/>
    </row>
    <row r="787">
      <c r="C787" s="1"/>
      <c r="E787" s="2"/>
      <c r="F787" s="2"/>
    </row>
    <row r="788">
      <c r="C788" s="1"/>
      <c r="E788" s="2"/>
      <c r="F788" s="2"/>
    </row>
    <row r="789">
      <c r="C789" s="1"/>
      <c r="E789" s="2"/>
      <c r="F789" s="2"/>
    </row>
    <row r="790">
      <c r="C790" s="1"/>
      <c r="E790" s="2"/>
      <c r="F790" s="2"/>
    </row>
    <row r="791">
      <c r="C791" s="1"/>
      <c r="E791" s="2"/>
      <c r="F791" s="2"/>
    </row>
    <row r="792">
      <c r="C792" s="1"/>
      <c r="E792" s="2"/>
      <c r="F792" s="2"/>
    </row>
    <row r="793">
      <c r="C793" s="1"/>
      <c r="E793" s="2"/>
      <c r="F793" s="2"/>
    </row>
    <row r="794">
      <c r="C794" s="1"/>
      <c r="E794" s="2"/>
      <c r="F794" s="2"/>
    </row>
    <row r="795">
      <c r="C795" s="1"/>
      <c r="E795" s="2"/>
      <c r="F795" s="2"/>
    </row>
    <row r="796">
      <c r="C796" s="1"/>
      <c r="E796" s="2"/>
      <c r="F796" s="2"/>
    </row>
    <row r="797">
      <c r="C797" s="1"/>
      <c r="E797" s="2"/>
      <c r="F797" s="2"/>
    </row>
    <row r="798">
      <c r="C798" s="1"/>
      <c r="E798" s="2"/>
      <c r="F798" s="2"/>
    </row>
    <row r="799">
      <c r="C799" s="1"/>
      <c r="E799" s="2"/>
      <c r="F799" s="2"/>
    </row>
    <row r="800">
      <c r="C800" s="1"/>
      <c r="E800" s="2"/>
      <c r="F800" s="2"/>
    </row>
    <row r="801">
      <c r="C801" s="1"/>
      <c r="E801" s="2"/>
      <c r="F801" s="2"/>
    </row>
    <row r="802">
      <c r="C802" s="1"/>
      <c r="E802" s="2"/>
      <c r="F802" s="2"/>
    </row>
    <row r="803">
      <c r="C803" s="1"/>
      <c r="E803" s="2"/>
      <c r="F803" s="2"/>
    </row>
    <row r="804">
      <c r="C804" s="1"/>
      <c r="E804" s="2"/>
      <c r="F804" s="2"/>
    </row>
    <row r="805">
      <c r="C805" s="1"/>
      <c r="E805" s="2"/>
      <c r="F805" s="2"/>
    </row>
    <row r="806">
      <c r="C806" s="1"/>
      <c r="E806" s="2"/>
      <c r="F806" s="2"/>
    </row>
    <row r="807">
      <c r="C807" s="1"/>
      <c r="E807" s="2"/>
      <c r="F807" s="2"/>
    </row>
    <row r="808">
      <c r="C808" s="1"/>
      <c r="E808" s="2"/>
      <c r="F808" s="2"/>
    </row>
    <row r="809">
      <c r="C809" s="1"/>
      <c r="E809" s="2"/>
      <c r="F809" s="2"/>
    </row>
    <row r="810">
      <c r="C810" s="1"/>
      <c r="E810" s="2"/>
      <c r="F810" s="2"/>
    </row>
    <row r="811">
      <c r="C811" s="1"/>
      <c r="E811" s="2"/>
      <c r="F811" s="2"/>
    </row>
    <row r="812">
      <c r="C812" s="1"/>
      <c r="E812" s="2"/>
      <c r="F812" s="2"/>
    </row>
    <row r="813">
      <c r="C813" s="1"/>
      <c r="E813" s="2"/>
      <c r="F813" s="2"/>
    </row>
    <row r="814">
      <c r="C814" s="1"/>
      <c r="E814" s="2"/>
      <c r="F814" s="2"/>
    </row>
    <row r="815">
      <c r="C815" s="1"/>
      <c r="E815" s="2"/>
      <c r="F815" s="2"/>
    </row>
    <row r="816">
      <c r="C816" s="1"/>
      <c r="E816" s="2"/>
      <c r="F816" s="2"/>
    </row>
    <row r="817">
      <c r="C817" s="1"/>
      <c r="E817" s="2"/>
      <c r="F817" s="2"/>
    </row>
    <row r="818">
      <c r="C818" s="1"/>
      <c r="E818" s="2"/>
      <c r="F818" s="2"/>
    </row>
    <row r="819">
      <c r="C819" s="1"/>
      <c r="E819" s="2"/>
      <c r="F819" s="2"/>
    </row>
    <row r="820">
      <c r="C820" s="1"/>
      <c r="E820" s="2"/>
      <c r="F820" s="2"/>
    </row>
    <row r="821">
      <c r="C821" s="1"/>
      <c r="E821" s="2"/>
      <c r="F821" s="2"/>
    </row>
    <row r="822">
      <c r="C822" s="1"/>
      <c r="E822" s="2"/>
      <c r="F822" s="2"/>
    </row>
    <row r="823">
      <c r="C823" s="1"/>
      <c r="E823" s="2"/>
      <c r="F823" s="2"/>
    </row>
    <row r="824">
      <c r="C824" s="1"/>
      <c r="E824" s="2"/>
      <c r="F824" s="2"/>
    </row>
    <row r="825">
      <c r="C825" s="1"/>
      <c r="E825" s="2"/>
      <c r="F825" s="2"/>
    </row>
    <row r="826">
      <c r="C826" s="1"/>
      <c r="E826" s="2"/>
      <c r="F826" s="2"/>
    </row>
    <row r="827">
      <c r="C827" s="1"/>
      <c r="E827" s="2"/>
      <c r="F827" s="2"/>
    </row>
    <row r="828">
      <c r="C828" s="1"/>
      <c r="E828" s="2"/>
      <c r="F828" s="2"/>
    </row>
    <row r="829">
      <c r="C829" s="1"/>
      <c r="E829" s="2"/>
      <c r="F829" s="2"/>
    </row>
    <row r="830">
      <c r="C830" s="1"/>
      <c r="E830" s="2"/>
      <c r="F830" s="2"/>
    </row>
    <row r="831">
      <c r="C831" s="1"/>
      <c r="E831" s="2"/>
      <c r="F831" s="2"/>
    </row>
    <row r="832">
      <c r="C832" s="1"/>
      <c r="E832" s="2"/>
      <c r="F832" s="2"/>
    </row>
    <row r="833">
      <c r="C833" s="1"/>
      <c r="E833" s="2"/>
      <c r="F833" s="2"/>
    </row>
    <row r="834">
      <c r="C834" s="1"/>
      <c r="E834" s="2"/>
      <c r="F834" s="2"/>
    </row>
    <row r="835">
      <c r="C835" s="1"/>
      <c r="E835" s="2"/>
      <c r="F835" s="2"/>
    </row>
    <row r="836">
      <c r="C836" s="1"/>
      <c r="E836" s="2"/>
      <c r="F836" s="2"/>
    </row>
    <row r="837">
      <c r="C837" s="1"/>
      <c r="E837" s="2"/>
      <c r="F837" s="2"/>
    </row>
    <row r="838">
      <c r="C838" s="1"/>
      <c r="E838" s="2"/>
      <c r="F838" s="2"/>
    </row>
    <row r="839">
      <c r="C839" s="1"/>
      <c r="E839" s="2"/>
      <c r="F839" s="2"/>
    </row>
    <row r="840">
      <c r="C840" s="1"/>
      <c r="E840" s="2"/>
      <c r="F840" s="2"/>
    </row>
    <row r="841">
      <c r="C841" s="1"/>
      <c r="E841" s="2"/>
      <c r="F841" s="2"/>
    </row>
    <row r="842">
      <c r="C842" s="1"/>
      <c r="E842" s="2"/>
      <c r="F842" s="2"/>
    </row>
    <row r="843">
      <c r="C843" s="1"/>
      <c r="E843" s="2"/>
      <c r="F843" s="2"/>
    </row>
    <row r="844">
      <c r="C844" s="1"/>
      <c r="E844" s="2"/>
      <c r="F844" s="2"/>
    </row>
    <row r="845">
      <c r="C845" s="1"/>
      <c r="E845" s="2"/>
      <c r="F845" s="2"/>
    </row>
    <row r="846">
      <c r="C846" s="1"/>
      <c r="E846" s="2"/>
      <c r="F846" s="2"/>
    </row>
    <row r="847">
      <c r="C847" s="1"/>
      <c r="E847" s="2"/>
      <c r="F847" s="2"/>
    </row>
    <row r="848">
      <c r="C848" s="1"/>
      <c r="E848" s="2"/>
      <c r="F848" s="2"/>
    </row>
    <row r="849">
      <c r="C849" s="1"/>
      <c r="E849" s="2"/>
      <c r="F849" s="2"/>
    </row>
    <row r="850">
      <c r="C850" s="1"/>
      <c r="E850" s="2"/>
      <c r="F850" s="2"/>
    </row>
    <row r="851">
      <c r="C851" s="1"/>
      <c r="E851" s="2"/>
      <c r="F851" s="2"/>
    </row>
    <row r="852">
      <c r="C852" s="1"/>
      <c r="E852" s="2"/>
      <c r="F852" s="2"/>
    </row>
    <row r="853">
      <c r="C853" s="1"/>
      <c r="E853" s="2"/>
      <c r="F853" s="2"/>
    </row>
    <row r="854">
      <c r="C854" s="1"/>
      <c r="E854" s="2"/>
      <c r="F854" s="2"/>
    </row>
    <row r="855">
      <c r="C855" s="1"/>
      <c r="E855" s="2"/>
      <c r="F855" s="2"/>
    </row>
    <row r="856">
      <c r="C856" s="1"/>
      <c r="E856" s="2"/>
      <c r="F856" s="2"/>
    </row>
    <row r="857">
      <c r="C857" s="1"/>
      <c r="E857" s="2"/>
      <c r="F857" s="2"/>
    </row>
    <row r="858">
      <c r="C858" s="1"/>
      <c r="E858" s="2"/>
      <c r="F858" s="2"/>
    </row>
    <row r="859">
      <c r="C859" s="1"/>
      <c r="E859" s="2"/>
      <c r="F859" s="2"/>
    </row>
    <row r="860">
      <c r="C860" s="1"/>
      <c r="E860" s="2"/>
      <c r="F860" s="2"/>
    </row>
    <row r="861">
      <c r="C861" s="1"/>
      <c r="E861" s="2"/>
      <c r="F861" s="2"/>
    </row>
    <row r="862">
      <c r="C862" s="1"/>
      <c r="E862" s="2"/>
      <c r="F862" s="2"/>
    </row>
    <row r="863">
      <c r="C863" s="1"/>
      <c r="E863" s="2"/>
      <c r="F863" s="2"/>
    </row>
    <row r="864">
      <c r="C864" s="1"/>
      <c r="E864" s="2"/>
      <c r="F864" s="2"/>
    </row>
    <row r="865">
      <c r="C865" s="1"/>
      <c r="E865" s="2"/>
      <c r="F865" s="2"/>
    </row>
    <row r="866">
      <c r="C866" s="1"/>
      <c r="E866" s="2"/>
      <c r="F866" s="2"/>
    </row>
    <row r="867">
      <c r="C867" s="1"/>
      <c r="E867" s="2"/>
      <c r="F867" s="2"/>
    </row>
    <row r="868">
      <c r="C868" s="1"/>
      <c r="E868" s="2"/>
      <c r="F868" s="2"/>
    </row>
    <row r="869">
      <c r="C869" s="1"/>
      <c r="E869" s="2"/>
      <c r="F869" s="2"/>
    </row>
    <row r="870">
      <c r="C870" s="1"/>
      <c r="E870" s="2"/>
      <c r="F870" s="2"/>
    </row>
    <row r="871">
      <c r="C871" s="1"/>
      <c r="E871" s="2"/>
      <c r="F871" s="2"/>
    </row>
    <row r="872">
      <c r="C872" s="1"/>
      <c r="E872" s="2"/>
      <c r="F872" s="2"/>
    </row>
    <row r="873">
      <c r="C873" s="1"/>
      <c r="E873" s="2"/>
      <c r="F873" s="2"/>
    </row>
    <row r="874">
      <c r="C874" s="1"/>
      <c r="E874" s="2"/>
      <c r="F874" s="2"/>
    </row>
    <row r="875">
      <c r="C875" s="1"/>
      <c r="E875" s="2"/>
      <c r="F875" s="2"/>
    </row>
    <row r="876">
      <c r="C876" s="1"/>
      <c r="E876" s="2"/>
      <c r="F876" s="2"/>
    </row>
    <row r="877">
      <c r="C877" s="1"/>
      <c r="E877" s="2"/>
      <c r="F877" s="2"/>
    </row>
    <row r="878">
      <c r="C878" s="1"/>
      <c r="E878" s="2"/>
      <c r="F878" s="2"/>
    </row>
    <row r="879">
      <c r="C879" s="1"/>
      <c r="E879" s="2"/>
      <c r="F879" s="2"/>
    </row>
    <row r="880">
      <c r="C880" s="1"/>
      <c r="E880" s="2"/>
      <c r="F880" s="2"/>
    </row>
    <row r="881">
      <c r="C881" s="1"/>
      <c r="E881" s="2"/>
      <c r="F881" s="2"/>
    </row>
    <row r="882">
      <c r="C882" s="1"/>
      <c r="E882" s="2"/>
      <c r="F882" s="2"/>
    </row>
    <row r="883">
      <c r="C883" s="1"/>
      <c r="E883" s="2"/>
      <c r="F883" s="2"/>
    </row>
    <row r="884">
      <c r="C884" s="1"/>
      <c r="E884" s="2"/>
      <c r="F884" s="2"/>
    </row>
    <row r="885">
      <c r="C885" s="1"/>
      <c r="E885" s="2"/>
      <c r="F885" s="2"/>
    </row>
    <row r="886">
      <c r="C886" s="1"/>
      <c r="E886" s="2"/>
      <c r="F886" s="2"/>
    </row>
    <row r="887">
      <c r="C887" s="1"/>
      <c r="E887" s="2"/>
      <c r="F887" s="2"/>
    </row>
    <row r="888">
      <c r="C888" s="1"/>
      <c r="E888" s="2"/>
      <c r="F888" s="2"/>
    </row>
    <row r="889">
      <c r="C889" s="1"/>
      <c r="E889" s="2"/>
      <c r="F889" s="2"/>
    </row>
    <row r="890">
      <c r="C890" s="1"/>
      <c r="E890" s="2"/>
      <c r="F890" s="2"/>
    </row>
    <row r="891">
      <c r="C891" s="1"/>
      <c r="E891" s="2"/>
      <c r="F891" s="2"/>
    </row>
    <row r="892">
      <c r="C892" s="1"/>
      <c r="E892" s="2"/>
      <c r="F892" s="2"/>
    </row>
    <row r="893">
      <c r="C893" s="1"/>
      <c r="E893" s="2"/>
      <c r="F893" s="2"/>
    </row>
    <row r="894">
      <c r="C894" s="1"/>
      <c r="E894" s="2"/>
      <c r="F894" s="2"/>
    </row>
    <row r="895">
      <c r="C895" s="1"/>
      <c r="E895" s="2"/>
      <c r="F895" s="2"/>
    </row>
    <row r="896">
      <c r="C896" s="1"/>
      <c r="E896" s="2"/>
      <c r="F896" s="2"/>
    </row>
    <row r="897">
      <c r="C897" s="1"/>
      <c r="E897" s="2"/>
      <c r="F897" s="2"/>
    </row>
    <row r="898">
      <c r="C898" s="1"/>
      <c r="E898" s="2"/>
      <c r="F898" s="2"/>
    </row>
    <row r="899">
      <c r="C899" s="1"/>
      <c r="E899" s="2"/>
      <c r="F899" s="2"/>
    </row>
    <row r="900">
      <c r="C900" s="1"/>
      <c r="E900" s="2"/>
      <c r="F900" s="2"/>
    </row>
    <row r="901">
      <c r="C901" s="1"/>
      <c r="E901" s="2"/>
      <c r="F901" s="2"/>
    </row>
    <row r="902">
      <c r="C902" s="1"/>
      <c r="E902" s="2"/>
      <c r="F902" s="2"/>
    </row>
    <row r="903">
      <c r="C903" s="1"/>
      <c r="E903" s="2"/>
      <c r="F903" s="2"/>
    </row>
    <row r="904">
      <c r="C904" s="1"/>
      <c r="E904" s="2"/>
      <c r="F904" s="2"/>
    </row>
    <row r="905">
      <c r="C905" s="1"/>
      <c r="E905" s="2"/>
      <c r="F905" s="2"/>
    </row>
    <row r="906">
      <c r="C906" s="1"/>
      <c r="E906" s="2"/>
      <c r="F906" s="2"/>
    </row>
    <row r="907">
      <c r="C907" s="1"/>
      <c r="E907" s="2"/>
      <c r="F907" s="2"/>
    </row>
    <row r="908">
      <c r="C908" s="1"/>
      <c r="E908" s="2"/>
      <c r="F908" s="2"/>
    </row>
    <row r="909">
      <c r="C909" s="1"/>
      <c r="E909" s="2"/>
      <c r="F909" s="2"/>
    </row>
    <row r="910">
      <c r="C910" s="1"/>
      <c r="E910" s="2"/>
      <c r="F910" s="2"/>
    </row>
    <row r="911">
      <c r="C911" s="1"/>
      <c r="E911" s="2"/>
      <c r="F911" s="2"/>
    </row>
    <row r="912">
      <c r="C912" s="1"/>
      <c r="E912" s="2"/>
      <c r="F912" s="2"/>
    </row>
    <row r="913">
      <c r="C913" s="1"/>
      <c r="E913" s="2"/>
      <c r="F913" s="2"/>
    </row>
    <row r="914">
      <c r="C914" s="1"/>
      <c r="E914" s="2"/>
      <c r="F914" s="2"/>
    </row>
    <row r="915">
      <c r="C915" s="1"/>
      <c r="E915" s="2"/>
      <c r="F915" s="2"/>
    </row>
    <row r="916">
      <c r="C916" s="1"/>
      <c r="E916" s="2"/>
      <c r="F916" s="2"/>
    </row>
    <row r="917">
      <c r="C917" s="1"/>
      <c r="E917" s="2"/>
      <c r="F917" s="2"/>
    </row>
    <row r="918">
      <c r="C918" s="1"/>
      <c r="E918" s="2"/>
      <c r="F918" s="2"/>
    </row>
    <row r="919">
      <c r="C919" s="1"/>
      <c r="E919" s="2"/>
      <c r="F919" s="2"/>
    </row>
    <row r="920">
      <c r="C920" s="1"/>
      <c r="E920" s="2"/>
      <c r="F920" s="2"/>
    </row>
    <row r="921">
      <c r="C921" s="1"/>
      <c r="E921" s="2"/>
      <c r="F921" s="2"/>
    </row>
    <row r="922">
      <c r="C922" s="1"/>
      <c r="E922" s="2"/>
      <c r="F922" s="2"/>
    </row>
    <row r="923">
      <c r="C923" s="1"/>
      <c r="E923" s="2"/>
      <c r="F923" s="2"/>
    </row>
    <row r="924">
      <c r="C924" s="1"/>
      <c r="E924" s="2"/>
      <c r="F924" s="2"/>
    </row>
    <row r="925">
      <c r="C925" s="1"/>
      <c r="E925" s="2"/>
      <c r="F925" s="2"/>
    </row>
    <row r="926">
      <c r="C926" s="1"/>
      <c r="E926" s="2"/>
      <c r="F926" s="2"/>
    </row>
    <row r="927">
      <c r="C927" s="1"/>
      <c r="E927" s="2"/>
      <c r="F927" s="2"/>
    </row>
    <row r="928">
      <c r="C928" s="1"/>
      <c r="E928" s="2"/>
      <c r="F928" s="2"/>
    </row>
    <row r="929">
      <c r="C929" s="1"/>
      <c r="E929" s="2"/>
      <c r="F929" s="2"/>
    </row>
    <row r="930">
      <c r="C930" s="1"/>
      <c r="E930" s="2"/>
      <c r="F930" s="2"/>
    </row>
    <row r="931">
      <c r="C931" s="1"/>
      <c r="E931" s="2"/>
      <c r="F931" s="2"/>
    </row>
    <row r="932">
      <c r="C932" s="1"/>
      <c r="E932" s="2"/>
      <c r="F932" s="2"/>
    </row>
    <row r="933">
      <c r="C933" s="1"/>
      <c r="E933" s="2"/>
      <c r="F933" s="2"/>
    </row>
    <row r="934">
      <c r="C934" s="1"/>
      <c r="E934" s="2"/>
      <c r="F934" s="2"/>
    </row>
    <row r="935">
      <c r="C935" s="1"/>
      <c r="E935" s="2"/>
      <c r="F935" s="2"/>
    </row>
    <row r="936">
      <c r="C936" s="1"/>
      <c r="E936" s="2"/>
      <c r="F936" s="2"/>
    </row>
    <row r="937">
      <c r="C937" s="1"/>
      <c r="E937" s="2"/>
      <c r="F937" s="2"/>
    </row>
    <row r="938">
      <c r="C938" s="1"/>
      <c r="E938" s="2"/>
      <c r="F938" s="2"/>
    </row>
    <row r="939">
      <c r="C939" s="1"/>
      <c r="E939" s="2"/>
      <c r="F939" s="2"/>
    </row>
    <row r="940">
      <c r="C940" s="1"/>
      <c r="E940" s="2"/>
      <c r="F940" s="2"/>
    </row>
    <row r="941">
      <c r="C941" s="1"/>
      <c r="E941" s="2"/>
      <c r="F941" s="2"/>
    </row>
    <row r="942">
      <c r="C942" s="1"/>
      <c r="E942" s="2"/>
      <c r="F942" s="2"/>
    </row>
    <row r="943">
      <c r="C943" s="1"/>
      <c r="E943" s="2"/>
      <c r="F943" s="2"/>
    </row>
    <row r="944">
      <c r="C944" s="1"/>
      <c r="E944" s="2"/>
      <c r="F944" s="2"/>
    </row>
    <row r="945">
      <c r="C945" s="1"/>
      <c r="E945" s="2"/>
      <c r="F945" s="2"/>
    </row>
    <row r="946">
      <c r="C946" s="1"/>
      <c r="E946" s="2"/>
      <c r="F946" s="2"/>
    </row>
    <row r="947">
      <c r="C947" s="1"/>
      <c r="E947" s="2"/>
      <c r="F947" s="2"/>
    </row>
    <row r="948">
      <c r="C948" s="1"/>
      <c r="E948" s="2"/>
      <c r="F948" s="2"/>
    </row>
    <row r="949">
      <c r="C949" s="1"/>
      <c r="E949" s="2"/>
      <c r="F949" s="2"/>
    </row>
    <row r="950">
      <c r="C950" s="1"/>
      <c r="E950" s="2"/>
      <c r="F950" s="2"/>
    </row>
    <row r="951">
      <c r="C951" s="1"/>
      <c r="E951" s="2"/>
      <c r="F951" s="2"/>
    </row>
    <row r="952">
      <c r="C952" s="1"/>
      <c r="E952" s="2"/>
      <c r="F952" s="2"/>
    </row>
    <row r="953">
      <c r="C953" s="1"/>
      <c r="E953" s="2"/>
      <c r="F953" s="2"/>
    </row>
    <row r="954">
      <c r="C954" s="1"/>
      <c r="E954" s="2"/>
      <c r="F954" s="2"/>
    </row>
    <row r="955">
      <c r="C955" s="1"/>
      <c r="E955" s="2"/>
      <c r="F955" s="2"/>
    </row>
    <row r="956">
      <c r="C956" s="1"/>
      <c r="E956" s="2"/>
      <c r="F956" s="2"/>
    </row>
    <row r="957">
      <c r="C957" s="1"/>
      <c r="E957" s="2"/>
      <c r="F957" s="2"/>
    </row>
    <row r="958">
      <c r="C958" s="1"/>
      <c r="E958" s="2"/>
      <c r="F958" s="2"/>
    </row>
    <row r="959">
      <c r="C959" s="1"/>
      <c r="E959" s="2"/>
      <c r="F959" s="2"/>
    </row>
    <row r="960">
      <c r="C960" s="1"/>
      <c r="E960" s="2"/>
      <c r="F960" s="2"/>
    </row>
    <row r="961">
      <c r="C961" s="1"/>
      <c r="E961" s="2"/>
      <c r="F961" s="2"/>
    </row>
    <row r="962">
      <c r="C962" s="1"/>
      <c r="E962" s="2"/>
      <c r="F962" s="2"/>
    </row>
    <row r="963">
      <c r="C963" s="1"/>
      <c r="E963" s="2"/>
      <c r="F963" s="2"/>
    </row>
    <row r="964">
      <c r="C964" s="1"/>
      <c r="E964" s="2"/>
      <c r="F964" s="2"/>
    </row>
    <row r="965">
      <c r="C965" s="1"/>
      <c r="E965" s="2"/>
      <c r="F965" s="2"/>
    </row>
    <row r="966">
      <c r="C966" s="1"/>
      <c r="E966" s="2"/>
      <c r="F966" s="2"/>
    </row>
    <row r="967">
      <c r="C967" s="1"/>
      <c r="E967" s="2"/>
      <c r="F967" s="2"/>
    </row>
    <row r="968">
      <c r="C968" s="1"/>
      <c r="E968" s="2"/>
      <c r="F968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/>
      <c r="E1" s="2"/>
      <c r="F1" s="2"/>
    </row>
    <row r="2">
      <c r="C2" s="1"/>
      <c r="E2" s="2"/>
      <c r="F2" s="2"/>
    </row>
    <row r="3">
      <c r="C3" s="1"/>
      <c r="E3" s="2"/>
      <c r="F3" s="2"/>
    </row>
    <row r="4">
      <c r="C4" s="1"/>
      <c r="E4" s="2"/>
      <c r="F4" s="2"/>
    </row>
    <row r="5">
      <c r="C5" s="1"/>
      <c r="E5" s="2"/>
      <c r="F5" s="2"/>
    </row>
    <row r="6">
      <c r="A6" s="3" t="s">
        <v>0</v>
      </c>
      <c r="C6" s="1"/>
      <c r="E6" s="2"/>
      <c r="F6" s="2"/>
    </row>
    <row r="7">
      <c r="C7" s="1"/>
      <c r="E7" s="2"/>
      <c r="F7" s="2"/>
    </row>
    <row r="8">
      <c r="C8" s="1"/>
      <c r="E8" s="2"/>
      <c r="F8" s="2"/>
    </row>
    <row r="9">
      <c r="A9" s="4" t="s">
        <v>1</v>
      </c>
      <c r="B9" s="5"/>
      <c r="C9" s="5"/>
      <c r="D9" s="6"/>
      <c r="E9" s="7"/>
      <c r="F9" s="7"/>
      <c r="G9" s="5"/>
      <c r="H9" s="5"/>
      <c r="I9" s="5"/>
      <c r="J9" s="7"/>
      <c r="K9" s="5"/>
      <c r="M9" s="4" t="s">
        <v>2</v>
      </c>
    </row>
    <row r="10">
      <c r="A10" s="8" t="s">
        <v>3</v>
      </c>
      <c r="B10" s="8" t="s">
        <v>4</v>
      </c>
      <c r="C10" s="8" t="s">
        <v>5</v>
      </c>
      <c r="D10" s="9" t="s">
        <v>6</v>
      </c>
      <c r="E10" s="10" t="s">
        <v>7</v>
      </c>
      <c r="F10" s="10" t="s">
        <v>8</v>
      </c>
      <c r="G10" s="8" t="s">
        <v>9</v>
      </c>
      <c r="H10" s="8" t="s">
        <v>10</v>
      </c>
      <c r="I10" s="8" t="s">
        <v>11</v>
      </c>
      <c r="J10" s="10" t="s">
        <v>12</v>
      </c>
      <c r="K10" s="8" t="s">
        <v>13</v>
      </c>
      <c r="M10" s="11" t="s">
        <v>8</v>
      </c>
      <c r="N10" s="12" t="s">
        <v>9</v>
      </c>
      <c r="O10" s="13" t="s">
        <v>10</v>
      </c>
      <c r="P10" s="11" t="s">
        <v>11</v>
      </c>
      <c r="Q10" s="11" t="s">
        <v>12</v>
      </c>
      <c r="S10" s="3" t="s">
        <v>14</v>
      </c>
      <c r="T10" s="3" t="s">
        <v>15</v>
      </c>
    </row>
    <row r="11">
      <c r="A11" s="14" t="s">
        <v>16</v>
      </c>
      <c r="B11" s="15">
        <v>345336.02999999997</v>
      </c>
      <c r="C11" s="16">
        <f t="shared" ref="C11:C22" si="1">B11*D11</f>
        <v>130916.889</v>
      </c>
      <c r="D11" s="17">
        <v>0.3791</v>
      </c>
      <c r="E11" s="18">
        <v>0.19</v>
      </c>
      <c r="F11" s="18">
        <f t="shared" ref="F11:F22" si="2">C11*E11</f>
        <v>24874.2089</v>
      </c>
      <c r="G11" s="15">
        <f t="shared" ref="G11:G22" si="3">C11*H11</f>
        <v>10892.28516</v>
      </c>
      <c r="H11" s="19">
        <v>0.0832</v>
      </c>
      <c r="I11" s="20">
        <f t="shared" ref="I11:I23" si="4">F11/G11</f>
        <v>2.283653846</v>
      </c>
      <c r="J11" s="20">
        <f t="shared" ref="J11:J22" si="5">G11*K11</f>
        <v>1223203.624</v>
      </c>
      <c r="K11" s="18">
        <v>112.3</v>
      </c>
      <c r="M11" s="21">
        <v>23858.0</v>
      </c>
      <c r="N11" s="22">
        <v>10370.0</v>
      </c>
      <c r="O11" s="19">
        <v>0.0832</v>
      </c>
      <c r="P11" s="21">
        <v>2.3</v>
      </c>
      <c r="Q11" s="21">
        <v>1164558.0</v>
      </c>
      <c r="S11" s="23">
        <f t="shared" ref="S11:S18" si="6">F11/M11-1</f>
        <v>0.04259405251</v>
      </c>
      <c r="T11" s="23">
        <f t="shared" ref="T11:T18" si="7">J11/Q11-1</f>
        <v>0.05035869725</v>
      </c>
    </row>
    <row r="12">
      <c r="A12" s="14" t="s">
        <v>17</v>
      </c>
      <c r="B12" s="15">
        <v>403198.74</v>
      </c>
      <c r="C12" s="16">
        <f t="shared" si="1"/>
        <v>136321.494</v>
      </c>
      <c r="D12" s="17">
        <v>0.3381</v>
      </c>
      <c r="E12" s="18">
        <v>0.22</v>
      </c>
      <c r="F12" s="18">
        <f t="shared" si="2"/>
        <v>29990.72868</v>
      </c>
      <c r="G12" s="15">
        <f t="shared" si="3"/>
        <v>11682.75204</v>
      </c>
      <c r="H12" s="19">
        <v>0.0857</v>
      </c>
      <c r="I12" s="20">
        <f t="shared" si="4"/>
        <v>2.567094516</v>
      </c>
      <c r="J12" s="20">
        <f t="shared" si="5"/>
        <v>1304612.92</v>
      </c>
      <c r="K12" s="18">
        <v>111.67</v>
      </c>
      <c r="M12" s="21">
        <v>28350.0</v>
      </c>
      <c r="N12" s="22">
        <v>10986.0</v>
      </c>
      <c r="O12" s="19">
        <v>0.0857</v>
      </c>
      <c r="P12" s="21">
        <v>2.58</v>
      </c>
      <c r="Q12" s="21">
        <v>1226831.0</v>
      </c>
      <c r="S12" s="23">
        <f t="shared" si="6"/>
        <v>0.05787402747</v>
      </c>
      <c r="T12" s="23">
        <f t="shared" si="7"/>
        <v>0.06340068011</v>
      </c>
    </row>
    <row r="13">
      <c r="A13" s="14" t="s">
        <v>18</v>
      </c>
      <c r="B13" s="15">
        <v>440750.61</v>
      </c>
      <c r="C13" s="16">
        <f t="shared" si="1"/>
        <v>140202.769</v>
      </c>
      <c r="D13" s="17">
        <v>0.3181</v>
      </c>
      <c r="E13" s="18">
        <v>0.18</v>
      </c>
      <c r="F13" s="18">
        <f t="shared" si="2"/>
        <v>25236.49843</v>
      </c>
      <c r="G13" s="15">
        <f t="shared" si="3"/>
        <v>11286.32291</v>
      </c>
      <c r="H13" s="19">
        <v>0.0805</v>
      </c>
      <c r="I13" s="20">
        <f t="shared" si="4"/>
        <v>2.236024845</v>
      </c>
      <c r="J13" s="20">
        <f t="shared" si="5"/>
        <v>1216327.02</v>
      </c>
      <c r="K13" s="18">
        <v>107.77</v>
      </c>
      <c r="M13" s="21">
        <v>23542.0</v>
      </c>
      <c r="N13" s="22">
        <v>10631.0</v>
      </c>
      <c r="O13" s="19">
        <v>0.0805</v>
      </c>
      <c r="P13" s="21">
        <v>2.21</v>
      </c>
      <c r="Q13" s="21">
        <v>1145698.0</v>
      </c>
      <c r="S13" s="23">
        <f t="shared" si="6"/>
        <v>0.07197767511</v>
      </c>
      <c r="T13" s="23">
        <f t="shared" si="7"/>
        <v>0.06164715289</v>
      </c>
    </row>
    <row r="14">
      <c r="A14" s="14" t="s">
        <v>19</v>
      </c>
      <c r="B14" s="15">
        <v>472867.69499999995</v>
      </c>
      <c r="C14" s="16">
        <f t="shared" si="1"/>
        <v>139543.2568</v>
      </c>
      <c r="D14" s="17">
        <v>0.2951</v>
      </c>
      <c r="E14" s="18">
        <v>0.19</v>
      </c>
      <c r="F14" s="18">
        <f t="shared" si="2"/>
        <v>26513.21879</v>
      </c>
      <c r="G14" s="15">
        <f t="shared" si="3"/>
        <v>11679.77059</v>
      </c>
      <c r="H14" s="19">
        <v>0.0837</v>
      </c>
      <c r="I14" s="20">
        <f t="shared" si="4"/>
        <v>2.270011947</v>
      </c>
      <c r="J14" s="20">
        <f t="shared" si="5"/>
        <v>1320631.661</v>
      </c>
      <c r="K14" s="18">
        <v>113.07</v>
      </c>
      <c r="M14" s="21">
        <v>25567.0</v>
      </c>
      <c r="N14" s="22">
        <v>11111.0</v>
      </c>
      <c r="O14" s="19">
        <v>0.0837</v>
      </c>
      <c r="P14" s="21">
        <v>2.3</v>
      </c>
      <c r="Q14" s="21">
        <v>1256276.0</v>
      </c>
      <c r="S14" s="23">
        <f t="shared" si="6"/>
        <v>0.03700937892</v>
      </c>
      <c r="T14" s="23">
        <f t="shared" si="7"/>
        <v>0.05122732666</v>
      </c>
    </row>
    <row r="15">
      <c r="A15" s="14" t="s">
        <v>20</v>
      </c>
      <c r="B15" s="15">
        <v>530349.5249999999</v>
      </c>
      <c r="C15" s="16">
        <f t="shared" si="1"/>
        <v>158521.473</v>
      </c>
      <c r="D15" s="17">
        <v>0.2989</v>
      </c>
      <c r="E15" s="18">
        <v>0.18</v>
      </c>
      <c r="F15" s="18">
        <f t="shared" si="2"/>
        <v>28533.86514</v>
      </c>
      <c r="G15" s="15">
        <f t="shared" si="3"/>
        <v>12079.33624</v>
      </c>
      <c r="H15" s="19">
        <v>0.0762</v>
      </c>
      <c r="I15" s="20">
        <f t="shared" si="4"/>
        <v>2.362204724</v>
      </c>
      <c r="J15" s="20">
        <f t="shared" si="5"/>
        <v>1256130.176</v>
      </c>
      <c r="K15" s="18">
        <v>103.99</v>
      </c>
      <c r="M15" s="21">
        <v>27441.0</v>
      </c>
      <c r="N15" s="22">
        <v>11673.0</v>
      </c>
      <c r="O15" s="19">
        <v>0.0762</v>
      </c>
      <c r="P15" s="21">
        <v>2.35</v>
      </c>
      <c r="Q15" s="21">
        <v>1213862.0</v>
      </c>
      <c r="S15" s="23">
        <f t="shared" si="6"/>
        <v>0.03982599556</v>
      </c>
      <c r="T15" s="23">
        <f t="shared" si="7"/>
        <v>0.03482123672</v>
      </c>
    </row>
    <row r="16">
      <c r="A16" s="14" t="s">
        <v>21</v>
      </c>
      <c r="B16" s="15">
        <v>400662.99</v>
      </c>
      <c r="C16" s="16">
        <f t="shared" si="1"/>
        <v>116673.0627</v>
      </c>
      <c r="D16" s="17">
        <v>0.2912</v>
      </c>
      <c r="E16" s="18">
        <v>0.19</v>
      </c>
      <c r="F16" s="18">
        <f t="shared" si="2"/>
        <v>22167.88191</v>
      </c>
      <c r="G16" s="15">
        <f t="shared" si="3"/>
        <v>10395.56989</v>
      </c>
      <c r="H16" s="19">
        <v>0.0891</v>
      </c>
      <c r="I16" s="20">
        <f t="shared" si="4"/>
        <v>2.132435466</v>
      </c>
      <c r="J16" s="20">
        <f t="shared" si="5"/>
        <v>1072199.078</v>
      </c>
      <c r="K16" s="18">
        <v>103.14</v>
      </c>
      <c r="M16" s="21">
        <v>21894.0</v>
      </c>
      <c r="N16" s="22">
        <v>10043.0</v>
      </c>
      <c r="O16" s="19">
        <v>0.0891</v>
      </c>
      <c r="P16" s="21">
        <v>2.18</v>
      </c>
      <c r="Q16" s="21">
        <v>1035826.0</v>
      </c>
      <c r="S16" s="23">
        <f t="shared" si="6"/>
        <v>0.01250945057</v>
      </c>
      <c r="T16" s="23">
        <f t="shared" si="7"/>
        <v>0.03511504634</v>
      </c>
    </row>
    <row r="17">
      <c r="A17" s="14" t="s">
        <v>22</v>
      </c>
      <c r="B17" s="15">
        <v>244129.58999999997</v>
      </c>
      <c r="C17" s="16">
        <f t="shared" si="1"/>
        <v>106651.3037</v>
      </c>
      <c r="D17" s="24">
        <v>0.436863485809662</v>
      </c>
      <c r="E17" s="20">
        <v>0.11539569336701307</v>
      </c>
      <c r="F17" s="18">
        <f t="shared" si="2"/>
        <v>12307.10114</v>
      </c>
      <c r="G17" s="15">
        <f t="shared" si="3"/>
        <v>10899.76324</v>
      </c>
      <c r="H17" s="19">
        <v>0.1022</v>
      </c>
      <c r="I17" s="20">
        <f t="shared" si="4"/>
        <v>1.129116373</v>
      </c>
      <c r="J17" s="20">
        <f t="shared" si="5"/>
        <v>1102789.301</v>
      </c>
      <c r="K17" s="20">
        <v>101.17552801657281</v>
      </c>
      <c r="M17" s="21">
        <v>10591.099999999999</v>
      </c>
      <c r="N17" s="25">
        <v>10082.977143267057</v>
      </c>
      <c r="O17" s="26">
        <v>0.10985942335083673</v>
      </c>
      <c r="P17" s="27">
        <v>1.0503941295822774</v>
      </c>
      <c r="Q17" s="27">
        <v>971571.9394753136</v>
      </c>
      <c r="S17" s="23">
        <f t="shared" si="6"/>
        <v>0.1620229378</v>
      </c>
      <c r="T17" s="23">
        <f t="shared" si="7"/>
        <v>0.135056763</v>
      </c>
      <c r="U17" s="28"/>
      <c r="V17" s="28"/>
    </row>
    <row r="18">
      <c r="A18" s="14" t="s">
        <v>23</v>
      </c>
      <c r="B18" s="15">
        <v>225099.04499999998</v>
      </c>
      <c r="C18" s="16">
        <f t="shared" si="1"/>
        <v>103301.6188</v>
      </c>
      <c r="D18" s="24">
        <v>0.4589162910342079</v>
      </c>
      <c r="E18" s="20">
        <v>0.11965378944674579</v>
      </c>
      <c r="F18" s="18">
        <f t="shared" si="2"/>
        <v>12360.43015</v>
      </c>
      <c r="G18" s="15">
        <f t="shared" si="3"/>
        <v>10846.66998</v>
      </c>
      <c r="H18" s="19">
        <v>0.105</v>
      </c>
      <c r="I18" s="20">
        <f t="shared" si="4"/>
        <v>1.139559899</v>
      </c>
      <c r="J18" s="20">
        <f t="shared" si="5"/>
        <v>1106429.416</v>
      </c>
      <c r="K18" s="20">
        <v>102.0063686499176</v>
      </c>
      <c r="M18" s="21">
        <v>7800.7</v>
      </c>
      <c r="N18" s="25">
        <v>9125.026643298488</v>
      </c>
      <c r="O18" s="26">
        <v>0.13996744095698885</v>
      </c>
      <c r="P18" s="27">
        <v>0.8548687368194057</v>
      </c>
      <c r="Q18" s="27">
        <v>886486.5063967864</v>
      </c>
      <c r="S18" s="23">
        <f t="shared" si="6"/>
        <v>0.5845283309</v>
      </c>
      <c r="T18" s="23">
        <f t="shared" si="7"/>
        <v>0.2481063259</v>
      </c>
      <c r="U18" s="28"/>
      <c r="V18" s="28"/>
    </row>
    <row r="19">
      <c r="A19" s="14" t="s">
        <v>24</v>
      </c>
      <c r="B19" s="15">
        <v>184952.43</v>
      </c>
      <c r="C19" s="16">
        <f t="shared" si="1"/>
        <v>83842.0276</v>
      </c>
      <c r="D19" s="24">
        <v>0.45331671281760233</v>
      </c>
      <c r="E19" s="20">
        <v>0.1239114905018328</v>
      </c>
      <c r="F19" s="18">
        <f t="shared" si="2"/>
        <v>10388.99061</v>
      </c>
      <c r="G19" s="15">
        <f t="shared" si="3"/>
        <v>8803.412897</v>
      </c>
      <c r="H19" s="19">
        <v>0.105</v>
      </c>
      <c r="I19" s="20">
        <f t="shared" si="4"/>
        <v>1.180109433</v>
      </c>
      <c r="J19" s="20">
        <f t="shared" si="5"/>
        <v>843170.8266</v>
      </c>
      <c r="K19" s="20">
        <v>95.77772125650696</v>
      </c>
      <c r="M19" s="40">
        <v>6502.94188000001</v>
      </c>
      <c r="N19" s="41">
        <v>6305.926352750254</v>
      </c>
      <c r="O19" s="42">
        <v>0.12015742225333699</v>
      </c>
      <c r="P19" s="43">
        <v>1.0312429159855045</v>
      </c>
      <c r="Q19" s="43">
        <v>575206.9109312147</v>
      </c>
      <c r="R19" s="44" t="s">
        <v>33</v>
      </c>
      <c r="S19" s="23"/>
      <c r="T19" s="23"/>
      <c r="U19" s="28"/>
      <c r="V19" s="28"/>
    </row>
    <row r="20">
      <c r="A20" s="14" t="s">
        <v>25</v>
      </c>
      <c r="B20" s="15">
        <v>241872.32998420784</v>
      </c>
      <c r="C20" s="16">
        <f t="shared" si="1"/>
        <v>90311.46529</v>
      </c>
      <c r="D20" s="24">
        <v>0.37338485676139704</v>
      </c>
      <c r="E20" s="20">
        <v>0.1548766461556156</v>
      </c>
      <c r="F20" s="18">
        <f t="shared" si="2"/>
        <v>13987.13685</v>
      </c>
      <c r="G20" s="15">
        <f t="shared" si="3"/>
        <v>5756.350182</v>
      </c>
      <c r="H20" s="26">
        <v>0.06373886376679604</v>
      </c>
      <c r="I20" s="20">
        <f t="shared" si="4"/>
        <v>2.42986205</v>
      </c>
      <c r="J20" s="20">
        <f t="shared" si="5"/>
        <v>527425.8674</v>
      </c>
      <c r="K20" s="20">
        <v>91.62504898549385</v>
      </c>
      <c r="M20" s="40">
        <v>12357.57</v>
      </c>
      <c r="N20" s="41">
        <v>5085.708467157986</v>
      </c>
      <c r="O20" s="42">
        <v>0.06373886376679604</v>
      </c>
      <c r="P20" s="43">
        <v>2.429862049663594</v>
      </c>
      <c r="Q20" s="43">
        <v>443788.8451707536</v>
      </c>
      <c r="S20" s="23"/>
      <c r="T20" s="23"/>
      <c r="U20" s="28"/>
      <c r="V20" s="28"/>
    </row>
    <row r="21">
      <c r="A21" s="14" t="s">
        <v>26</v>
      </c>
      <c r="B21" s="15">
        <v>281968.33378316555</v>
      </c>
      <c r="C21" s="16">
        <f t="shared" si="1"/>
        <v>121579.7841</v>
      </c>
      <c r="D21" s="24">
        <v>0.4311824044652632</v>
      </c>
      <c r="E21" s="20">
        <v>0.10562877393095912</v>
      </c>
      <c r="F21" s="18">
        <f t="shared" si="2"/>
        <v>12842.32353</v>
      </c>
      <c r="G21" s="15">
        <f t="shared" si="3"/>
        <v>10856.6527</v>
      </c>
      <c r="H21" s="26">
        <v>0.08929652885378722</v>
      </c>
      <c r="I21" s="20">
        <f t="shared" si="4"/>
        <v>1.182898992</v>
      </c>
      <c r="J21" s="20">
        <f t="shared" si="5"/>
        <v>1120626.427</v>
      </c>
      <c r="K21" s="20">
        <v>103.22025189226616</v>
      </c>
      <c r="M21" s="40">
        <v>11041.684</v>
      </c>
      <c r="N21" s="41">
        <v>9334.426758989532</v>
      </c>
      <c r="O21" s="42">
        <v>0.08929652885378722</v>
      </c>
      <c r="P21" s="43">
        <v>1.1828989915600645</v>
      </c>
      <c r="Q21" s="43">
        <v>917620.83936458</v>
      </c>
      <c r="S21" s="23"/>
      <c r="T21" s="23"/>
      <c r="U21" s="28"/>
      <c r="V21" s="28"/>
    </row>
    <row r="22">
      <c r="A22" s="14" t="s">
        <v>27</v>
      </c>
      <c r="B22" s="16">
        <v>554628.0</v>
      </c>
      <c r="C22" s="16">
        <f t="shared" si="1"/>
        <v>152800.014</v>
      </c>
      <c r="D22" s="17">
        <v>0.2755</v>
      </c>
      <c r="E22" s="18">
        <v>0.18</v>
      </c>
      <c r="F22" s="18">
        <f t="shared" si="2"/>
        <v>27504.00252</v>
      </c>
      <c r="G22" s="15">
        <f t="shared" si="3"/>
        <v>8801.280806</v>
      </c>
      <c r="H22" s="19">
        <v>0.0576</v>
      </c>
      <c r="I22" s="20">
        <f t="shared" si="4"/>
        <v>3.125</v>
      </c>
      <c r="J22" s="20">
        <f t="shared" si="5"/>
        <v>902957.1838</v>
      </c>
      <c r="K22" s="20">
        <v>102.59383874640302</v>
      </c>
      <c r="M22" s="40">
        <v>26054.0</v>
      </c>
      <c r="N22" s="41">
        <v>7020.334496795288</v>
      </c>
      <c r="O22" s="42">
        <v>0.05762253781920437</v>
      </c>
      <c r="P22" s="43">
        <v>3.7112191750825247</v>
      </c>
      <c r="Q22" s="43">
        <v>685945.7764857393</v>
      </c>
      <c r="S22" s="23"/>
      <c r="T22" s="23"/>
      <c r="U22" s="28"/>
      <c r="V22" s="28"/>
    </row>
    <row r="23">
      <c r="A23" s="8" t="s">
        <v>28</v>
      </c>
      <c r="B23" s="34">
        <f t="shared" ref="B23:C23" si="8">sum(B11:B22)</f>
        <v>4325815.319</v>
      </c>
      <c r="C23" s="34">
        <f t="shared" si="8"/>
        <v>1480665.158</v>
      </c>
      <c r="D23" s="35">
        <f>C23/B23</f>
        <v>0.3422858002</v>
      </c>
      <c r="E23" s="36">
        <f>F23/C23</f>
        <v>0.1666186209</v>
      </c>
      <c r="F23" s="36">
        <f t="shared" ref="F23:G23" si="9">sum(F11:F22)</f>
        <v>246706.3867</v>
      </c>
      <c r="G23" s="34">
        <f t="shared" si="9"/>
        <v>123980.1666</v>
      </c>
      <c r="H23" s="35">
        <f>G23/C23</f>
        <v>0.08373275076</v>
      </c>
      <c r="I23" s="36">
        <f t="shared" si="4"/>
        <v>1.98988591</v>
      </c>
      <c r="J23" s="36">
        <f>sum(J11:J22)</f>
        <v>12996503.5</v>
      </c>
      <c r="K23" s="36">
        <f>J23/G23</f>
        <v>104.8272789</v>
      </c>
      <c r="M23" s="37">
        <f>SUM(M10:M22)</f>
        <v>224999.9959</v>
      </c>
      <c r="N23" s="38">
        <f>sum(N11:N22)</f>
        <v>111768.3999</v>
      </c>
      <c r="O23" s="39">
        <f>N23/J23</f>
        <v>0.008599882258</v>
      </c>
      <c r="P23" s="37">
        <f>M23/N23</f>
        <v>2.013091322</v>
      </c>
      <c r="Q23" s="37">
        <f>sum(Q11:Q22)</f>
        <v>11523671.82</v>
      </c>
      <c r="S23" s="23">
        <f>F23/M23-1</f>
        <v>0.09647284966</v>
      </c>
      <c r="T23" s="23">
        <f>J23/Q23-1</f>
        <v>0.1278092352</v>
      </c>
      <c r="U23" s="28"/>
      <c r="V23" s="28"/>
    </row>
    <row r="25">
      <c r="C25" s="1"/>
      <c r="E25" s="2"/>
      <c r="F25" s="2"/>
    </row>
    <row r="26">
      <c r="A26" s="3" t="s">
        <v>29</v>
      </c>
      <c r="C26" s="1"/>
      <c r="E26" s="2"/>
      <c r="F26" s="2"/>
    </row>
    <row r="27">
      <c r="A27" s="3" t="s">
        <v>30</v>
      </c>
      <c r="C27" s="1"/>
      <c r="E27" s="2"/>
      <c r="F27" s="2"/>
    </row>
    <row r="28">
      <c r="A28" s="3" t="s">
        <v>31</v>
      </c>
      <c r="C28" s="1"/>
      <c r="E28" s="2"/>
      <c r="F28" s="2"/>
    </row>
    <row r="29">
      <c r="A29" s="3" t="s">
        <v>32</v>
      </c>
      <c r="C29" s="1"/>
      <c r="E29" s="2"/>
      <c r="F29" s="2"/>
    </row>
    <row r="30">
      <c r="B30" s="1"/>
      <c r="C30" s="1"/>
      <c r="D30" s="23"/>
      <c r="E30" s="2"/>
      <c r="F30" s="2"/>
      <c r="G30" s="1"/>
      <c r="H30" s="23"/>
      <c r="I30" s="2"/>
      <c r="J30" s="2"/>
      <c r="K30" s="2"/>
    </row>
    <row r="31">
      <c r="B31" s="1"/>
      <c r="C31" s="1"/>
      <c r="D31" s="23"/>
      <c r="E31" s="2"/>
      <c r="F31" s="2"/>
      <c r="G31" s="1"/>
      <c r="H31" s="23"/>
      <c r="I31" s="2"/>
      <c r="J31" s="2"/>
      <c r="K31" s="2"/>
    </row>
    <row r="32">
      <c r="C32" s="1"/>
      <c r="E32" s="2"/>
      <c r="F32" s="2"/>
    </row>
    <row r="33">
      <c r="C33" s="1"/>
      <c r="E33" s="2"/>
      <c r="F33" s="2"/>
    </row>
    <row r="34">
      <c r="C34" s="1"/>
      <c r="E34" s="2"/>
      <c r="F34" s="2"/>
    </row>
    <row r="35">
      <c r="C35" s="1"/>
      <c r="E35" s="2"/>
      <c r="F35" s="2"/>
    </row>
    <row r="36">
      <c r="C36" s="1"/>
      <c r="E36" s="2"/>
      <c r="F36" s="2"/>
    </row>
    <row r="37">
      <c r="C37" s="1"/>
      <c r="E37" s="2"/>
      <c r="F37" s="2"/>
    </row>
    <row r="38">
      <c r="C38" s="1"/>
      <c r="E38" s="2"/>
      <c r="F38" s="2"/>
    </row>
    <row r="39">
      <c r="C39" s="1"/>
      <c r="E39" s="2"/>
      <c r="F39" s="2"/>
    </row>
    <row r="40">
      <c r="C40" s="1"/>
      <c r="E40" s="2"/>
      <c r="F40" s="2"/>
    </row>
    <row r="41">
      <c r="C41" s="1"/>
      <c r="E41" s="2"/>
      <c r="F41" s="2"/>
    </row>
    <row r="42">
      <c r="C42" s="1"/>
      <c r="E42" s="2"/>
      <c r="F42" s="2"/>
    </row>
    <row r="43">
      <c r="C43" s="1"/>
      <c r="E43" s="2"/>
      <c r="F43" s="2"/>
    </row>
    <row r="44">
      <c r="C44" s="1"/>
      <c r="E44" s="2"/>
      <c r="F44" s="2"/>
    </row>
    <row r="45">
      <c r="C45" s="1"/>
      <c r="E45" s="2"/>
      <c r="F45" s="2"/>
    </row>
    <row r="46">
      <c r="C46" s="1"/>
      <c r="E46" s="2"/>
      <c r="F46" s="2"/>
    </row>
    <row r="47">
      <c r="C47" s="1"/>
      <c r="E47" s="2"/>
      <c r="F47" s="2"/>
    </row>
    <row r="48">
      <c r="C48" s="1"/>
      <c r="E48" s="2"/>
      <c r="F48" s="2"/>
    </row>
    <row r="49">
      <c r="C49" s="1"/>
      <c r="E49" s="2"/>
      <c r="F49" s="2"/>
    </row>
    <row r="50">
      <c r="C50" s="1"/>
      <c r="E50" s="2"/>
      <c r="F50" s="2"/>
    </row>
    <row r="51">
      <c r="C51" s="1"/>
      <c r="E51" s="2"/>
      <c r="F51" s="2"/>
    </row>
    <row r="52">
      <c r="C52" s="1"/>
      <c r="E52" s="2"/>
      <c r="F52" s="2"/>
    </row>
    <row r="53">
      <c r="C53" s="1"/>
      <c r="E53" s="2"/>
      <c r="F53" s="2"/>
    </row>
    <row r="54">
      <c r="C54" s="1"/>
      <c r="E54" s="2"/>
      <c r="F54" s="2"/>
    </row>
    <row r="55">
      <c r="C55" s="1"/>
      <c r="E55" s="2"/>
      <c r="F55" s="2"/>
    </row>
    <row r="56">
      <c r="C56" s="1"/>
      <c r="E56" s="2"/>
      <c r="F56" s="2"/>
    </row>
    <row r="57">
      <c r="C57" s="1"/>
      <c r="E57" s="2"/>
      <c r="F57" s="2"/>
    </row>
    <row r="58">
      <c r="C58" s="1"/>
      <c r="E58" s="2"/>
      <c r="F58" s="2"/>
    </row>
    <row r="59">
      <c r="C59" s="1"/>
      <c r="E59" s="2"/>
      <c r="F59" s="2"/>
    </row>
    <row r="60">
      <c r="C60" s="1"/>
      <c r="E60" s="2"/>
      <c r="F60" s="2"/>
    </row>
    <row r="61">
      <c r="C61" s="1"/>
      <c r="E61" s="2"/>
      <c r="F61" s="2"/>
    </row>
    <row r="62">
      <c r="C62" s="1"/>
      <c r="E62" s="2"/>
      <c r="F62" s="2"/>
    </row>
    <row r="63">
      <c r="C63" s="1"/>
      <c r="E63" s="2"/>
      <c r="F63" s="2"/>
    </row>
    <row r="64">
      <c r="C64" s="1"/>
      <c r="E64" s="2"/>
      <c r="F64" s="2"/>
    </row>
    <row r="65">
      <c r="C65" s="1"/>
      <c r="E65" s="2"/>
      <c r="F65" s="2"/>
    </row>
    <row r="66">
      <c r="C66" s="1"/>
      <c r="E66" s="2"/>
      <c r="F66" s="2"/>
    </row>
    <row r="67">
      <c r="C67" s="1"/>
      <c r="E67" s="2"/>
      <c r="F67" s="2"/>
    </row>
    <row r="68">
      <c r="C68" s="1"/>
      <c r="E68" s="2"/>
      <c r="F68" s="2"/>
    </row>
    <row r="69">
      <c r="C69" s="1"/>
      <c r="E69" s="2"/>
      <c r="F69" s="2"/>
    </row>
    <row r="70">
      <c r="C70" s="1"/>
      <c r="E70" s="2"/>
      <c r="F70" s="2"/>
    </row>
    <row r="71">
      <c r="C71" s="1"/>
      <c r="E71" s="2"/>
      <c r="F71" s="2"/>
    </row>
    <row r="72">
      <c r="C72" s="1"/>
      <c r="E72" s="2"/>
      <c r="F72" s="2"/>
    </row>
    <row r="73">
      <c r="C73" s="1"/>
      <c r="E73" s="2"/>
      <c r="F73" s="2"/>
    </row>
    <row r="74">
      <c r="C74" s="1"/>
      <c r="E74" s="2"/>
      <c r="F74" s="2"/>
    </row>
    <row r="75">
      <c r="C75" s="1"/>
      <c r="E75" s="2"/>
      <c r="F75" s="2"/>
    </row>
    <row r="76">
      <c r="C76" s="1"/>
      <c r="E76" s="2"/>
      <c r="F76" s="2"/>
    </row>
    <row r="77">
      <c r="C77" s="1"/>
      <c r="E77" s="2"/>
      <c r="F77" s="2"/>
    </row>
    <row r="78">
      <c r="C78" s="1"/>
      <c r="E78" s="2"/>
      <c r="F78" s="2"/>
    </row>
    <row r="79">
      <c r="C79" s="1"/>
      <c r="E79" s="2"/>
      <c r="F79" s="2"/>
    </row>
    <row r="80">
      <c r="C80" s="1"/>
      <c r="E80" s="2"/>
      <c r="F80" s="2"/>
    </row>
    <row r="81">
      <c r="C81" s="1"/>
      <c r="E81" s="2"/>
      <c r="F81" s="2"/>
    </row>
    <row r="82">
      <c r="C82" s="1"/>
      <c r="E82" s="2"/>
      <c r="F82" s="2"/>
    </row>
    <row r="83">
      <c r="C83" s="1"/>
      <c r="E83" s="2"/>
      <c r="F83" s="2"/>
    </row>
    <row r="84">
      <c r="C84" s="1"/>
      <c r="E84" s="2"/>
      <c r="F84" s="2"/>
    </row>
    <row r="85">
      <c r="C85" s="1"/>
      <c r="E85" s="2"/>
      <c r="F85" s="2"/>
    </row>
    <row r="86">
      <c r="C86" s="1"/>
      <c r="E86" s="2"/>
      <c r="F86" s="2"/>
    </row>
    <row r="87">
      <c r="C87" s="1"/>
      <c r="E87" s="2"/>
      <c r="F87" s="2"/>
    </row>
    <row r="88">
      <c r="C88" s="1"/>
      <c r="E88" s="2"/>
      <c r="F88" s="2"/>
    </row>
    <row r="89">
      <c r="C89" s="1"/>
      <c r="E89" s="2"/>
      <c r="F89" s="2"/>
    </row>
    <row r="90">
      <c r="C90" s="1"/>
      <c r="E90" s="2"/>
      <c r="F90" s="2"/>
    </row>
    <row r="91">
      <c r="C91" s="1"/>
      <c r="E91" s="2"/>
      <c r="F91" s="2"/>
    </row>
    <row r="92">
      <c r="C92" s="1"/>
      <c r="E92" s="2"/>
      <c r="F92" s="2"/>
    </row>
    <row r="93">
      <c r="C93" s="1"/>
      <c r="E93" s="2"/>
      <c r="F93" s="2"/>
    </row>
    <row r="94">
      <c r="C94" s="1"/>
      <c r="E94" s="2"/>
      <c r="F94" s="2"/>
    </row>
    <row r="95">
      <c r="C95" s="1"/>
      <c r="E95" s="2"/>
      <c r="F95" s="2"/>
    </row>
    <row r="96">
      <c r="C96" s="1"/>
      <c r="E96" s="2"/>
      <c r="F96" s="2"/>
    </row>
    <row r="97">
      <c r="C97" s="1"/>
      <c r="E97" s="2"/>
      <c r="F97" s="2"/>
    </row>
    <row r="98">
      <c r="C98" s="1"/>
      <c r="E98" s="2"/>
      <c r="F98" s="2"/>
    </row>
    <row r="99">
      <c r="C99" s="1"/>
      <c r="E99" s="2"/>
      <c r="F99" s="2"/>
    </row>
    <row r="100">
      <c r="C100" s="1"/>
      <c r="E100" s="2"/>
      <c r="F100" s="2"/>
    </row>
    <row r="101">
      <c r="C101" s="1"/>
      <c r="E101" s="2"/>
      <c r="F101" s="2"/>
    </row>
    <row r="102">
      <c r="C102" s="1"/>
      <c r="E102" s="2"/>
      <c r="F102" s="2"/>
    </row>
    <row r="103">
      <c r="C103" s="1"/>
      <c r="E103" s="2"/>
      <c r="F103" s="2"/>
    </row>
    <row r="104">
      <c r="C104" s="1"/>
      <c r="E104" s="2"/>
      <c r="F104" s="2"/>
    </row>
    <row r="105">
      <c r="C105" s="1"/>
      <c r="E105" s="2"/>
      <c r="F105" s="2"/>
    </row>
    <row r="106">
      <c r="C106" s="1"/>
      <c r="E106" s="2"/>
      <c r="F106" s="2"/>
    </row>
    <row r="107">
      <c r="C107" s="1"/>
      <c r="E107" s="2"/>
      <c r="F107" s="2"/>
    </row>
    <row r="108">
      <c r="C108" s="1"/>
      <c r="E108" s="2"/>
      <c r="F108" s="2"/>
    </row>
    <row r="109">
      <c r="C109" s="1"/>
      <c r="E109" s="2"/>
      <c r="F109" s="2"/>
    </row>
    <row r="110">
      <c r="C110" s="1"/>
      <c r="E110" s="2"/>
      <c r="F110" s="2"/>
    </row>
    <row r="111">
      <c r="C111" s="1"/>
      <c r="E111" s="2"/>
      <c r="F111" s="2"/>
    </row>
    <row r="112">
      <c r="C112" s="1"/>
      <c r="E112" s="2"/>
      <c r="F112" s="2"/>
    </row>
    <row r="113">
      <c r="C113" s="1"/>
      <c r="E113" s="2"/>
      <c r="F113" s="2"/>
    </row>
    <row r="114">
      <c r="C114" s="1"/>
      <c r="E114" s="2"/>
      <c r="F114" s="2"/>
    </row>
    <row r="115">
      <c r="C115" s="1"/>
      <c r="E115" s="2"/>
      <c r="F115" s="2"/>
    </row>
    <row r="116">
      <c r="C116" s="1"/>
      <c r="E116" s="2"/>
      <c r="F116" s="2"/>
    </row>
    <row r="117">
      <c r="C117" s="1"/>
      <c r="E117" s="2"/>
      <c r="F117" s="2"/>
    </row>
    <row r="118">
      <c r="C118" s="1"/>
      <c r="E118" s="2"/>
      <c r="F118" s="2"/>
    </row>
    <row r="119">
      <c r="C119" s="1"/>
      <c r="E119" s="2"/>
      <c r="F119" s="2"/>
    </row>
    <row r="120">
      <c r="C120" s="1"/>
      <c r="E120" s="2"/>
      <c r="F120" s="2"/>
    </row>
    <row r="121">
      <c r="C121" s="1"/>
      <c r="E121" s="2"/>
      <c r="F121" s="2"/>
    </row>
    <row r="122">
      <c r="C122" s="1"/>
      <c r="E122" s="2"/>
      <c r="F122" s="2"/>
    </row>
    <row r="123">
      <c r="C123" s="1"/>
      <c r="E123" s="2"/>
      <c r="F123" s="2"/>
    </row>
    <row r="124">
      <c r="C124" s="1"/>
      <c r="E124" s="2"/>
      <c r="F124" s="2"/>
    </row>
    <row r="125">
      <c r="C125" s="1"/>
      <c r="E125" s="2"/>
      <c r="F125" s="2"/>
    </row>
    <row r="126">
      <c r="C126" s="1"/>
      <c r="E126" s="2"/>
      <c r="F126" s="2"/>
    </row>
    <row r="127">
      <c r="C127" s="1"/>
      <c r="E127" s="2"/>
      <c r="F127" s="2"/>
    </row>
    <row r="128">
      <c r="C128" s="1"/>
      <c r="E128" s="2"/>
      <c r="F128" s="2"/>
    </row>
    <row r="129">
      <c r="C129" s="1"/>
      <c r="E129" s="2"/>
      <c r="F129" s="2"/>
    </row>
    <row r="130">
      <c r="C130" s="1"/>
      <c r="E130" s="2"/>
      <c r="F130" s="2"/>
    </row>
    <row r="131">
      <c r="C131" s="1"/>
      <c r="E131" s="2"/>
      <c r="F131" s="2"/>
    </row>
    <row r="132">
      <c r="C132" s="1"/>
      <c r="E132" s="2"/>
      <c r="F132" s="2"/>
    </row>
    <row r="133">
      <c r="C133" s="1"/>
      <c r="E133" s="2"/>
      <c r="F133" s="2"/>
    </row>
    <row r="134">
      <c r="C134" s="1"/>
      <c r="E134" s="2"/>
      <c r="F134" s="2"/>
    </row>
    <row r="135">
      <c r="C135" s="1"/>
      <c r="E135" s="2"/>
      <c r="F135" s="2"/>
    </row>
    <row r="136">
      <c r="C136" s="1"/>
      <c r="E136" s="2"/>
      <c r="F136" s="2"/>
    </row>
    <row r="137">
      <c r="C137" s="1"/>
      <c r="E137" s="2"/>
      <c r="F137" s="2"/>
    </row>
    <row r="138">
      <c r="C138" s="1"/>
      <c r="E138" s="2"/>
      <c r="F138" s="2"/>
    </row>
    <row r="139">
      <c r="C139" s="1"/>
      <c r="E139" s="2"/>
      <c r="F139" s="2"/>
    </row>
    <row r="140">
      <c r="C140" s="1"/>
      <c r="E140" s="2"/>
      <c r="F140" s="2"/>
    </row>
    <row r="141">
      <c r="C141" s="1"/>
      <c r="E141" s="2"/>
      <c r="F141" s="2"/>
    </row>
    <row r="142">
      <c r="C142" s="1"/>
      <c r="E142" s="2"/>
      <c r="F142" s="2"/>
    </row>
    <row r="143">
      <c r="C143" s="1"/>
      <c r="E143" s="2"/>
      <c r="F143" s="2"/>
    </row>
    <row r="144">
      <c r="C144" s="1"/>
      <c r="E144" s="2"/>
      <c r="F144" s="2"/>
    </row>
    <row r="145">
      <c r="C145" s="1"/>
      <c r="E145" s="2"/>
      <c r="F145" s="2"/>
    </row>
    <row r="146">
      <c r="C146" s="1"/>
      <c r="E146" s="2"/>
      <c r="F146" s="2"/>
    </row>
    <row r="147">
      <c r="C147" s="1"/>
      <c r="E147" s="2"/>
      <c r="F147" s="2"/>
    </row>
    <row r="148">
      <c r="C148" s="1"/>
      <c r="E148" s="2"/>
      <c r="F148" s="2"/>
    </row>
    <row r="149">
      <c r="C149" s="1"/>
      <c r="E149" s="2"/>
      <c r="F149" s="2"/>
    </row>
    <row r="150">
      <c r="C150" s="1"/>
      <c r="E150" s="2"/>
      <c r="F150" s="2"/>
    </row>
    <row r="151">
      <c r="C151" s="1"/>
      <c r="E151" s="2"/>
      <c r="F151" s="2"/>
    </row>
    <row r="152">
      <c r="C152" s="1"/>
      <c r="E152" s="2"/>
      <c r="F152" s="2"/>
    </row>
    <row r="153">
      <c r="C153" s="1"/>
      <c r="E153" s="2"/>
      <c r="F153" s="2"/>
    </row>
    <row r="154">
      <c r="C154" s="1"/>
      <c r="E154" s="2"/>
      <c r="F154" s="2"/>
    </row>
    <row r="155">
      <c r="C155" s="1"/>
      <c r="E155" s="2"/>
      <c r="F155" s="2"/>
    </row>
    <row r="156">
      <c r="C156" s="1"/>
      <c r="E156" s="2"/>
      <c r="F156" s="2"/>
    </row>
    <row r="157">
      <c r="C157" s="1"/>
      <c r="E157" s="2"/>
      <c r="F157" s="2"/>
    </row>
    <row r="158">
      <c r="C158" s="1"/>
      <c r="E158" s="2"/>
      <c r="F158" s="2"/>
    </row>
    <row r="159">
      <c r="C159" s="1"/>
      <c r="E159" s="2"/>
      <c r="F159" s="2"/>
    </row>
    <row r="160">
      <c r="C160" s="1"/>
      <c r="E160" s="2"/>
      <c r="F160" s="2"/>
    </row>
    <row r="161">
      <c r="C161" s="1"/>
      <c r="E161" s="2"/>
      <c r="F161" s="2"/>
    </row>
    <row r="162">
      <c r="C162" s="1"/>
      <c r="E162" s="2"/>
      <c r="F162" s="2"/>
    </row>
    <row r="163">
      <c r="C163" s="1"/>
      <c r="E163" s="2"/>
      <c r="F163" s="2"/>
    </row>
    <row r="164">
      <c r="C164" s="1"/>
      <c r="E164" s="2"/>
      <c r="F164" s="2"/>
    </row>
    <row r="165">
      <c r="C165" s="1"/>
      <c r="E165" s="2"/>
      <c r="F165" s="2"/>
    </row>
    <row r="166">
      <c r="C166" s="1"/>
      <c r="E166" s="2"/>
      <c r="F166" s="2"/>
    </row>
    <row r="167">
      <c r="C167" s="1"/>
      <c r="E167" s="2"/>
      <c r="F167" s="2"/>
    </row>
    <row r="168">
      <c r="C168" s="1"/>
      <c r="E168" s="2"/>
      <c r="F168" s="2"/>
    </row>
    <row r="169">
      <c r="C169" s="1"/>
      <c r="E169" s="2"/>
      <c r="F169" s="2"/>
    </row>
    <row r="170">
      <c r="C170" s="1"/>
      <c r="E170" s="2"/>
      <c r="F170" s="2"/>
    </row>
    <row r="171">
      <c r="C171" s="1"/>
      <c r="E171" s="2"/>
      <c r="F171" s="2"/>
    </row>
    <row r="172">
      <c r="C172" s="1"/>
      <c r="E172" s="2"/>
      <c r="F172" s="2"/>
    </row>
    <row r="173">
      <c r="C173" s="1"/>
      <c r="E173" s="2"/>
      <c r="F173" s="2"/>
    </row>
    <row r="174">
      <c r="C174" s="1"/>
      <c r="E174" s="2"/>
      <c r="F174" s="2"/>
    </row>
    <row r="175">
      <c r="C175" s="1"/>
      <c r="E175" s="2"/>
      <c r="F175" s="2"/>
    </row>
    <row r="176">
      <c r="C176" s="1"/>
      <c r="E176" s="2"/>
      <c r="F176" s="2"/>
    </row>
    <row r="177">
      <c r="C177" s="1"/>
      <c r="E177" s="2"/>
      <c r="F177" s="2"/>
    </row>
    <row r="178">
      <c r="C178" s="1"/>
      <c r="E178" s="2"/>
      <c r="F178" s="2"/>
    </row>
    <row r="179">
      <c r="C179" s="1"/>
      <c r="E179" s="2"/>
      <c r="F179" s="2"/>
    </row>
    <row r="180">
      <c r="C180" s="1"/>
      <c r="E180" s="2"/>
      <c r="F180" s="2"/>
    </row>
    <row r="181">
      <c r="C181" s="1"/>
      <c r="E181" s="2"/>
      <c r="F181" s="2"/>
    </row>
    <row r="182">
      <c r="C182" s="1"/>
      <c r="E182" s="2"/>
      <c r="F182" s="2"/>
    </row>
    <row r="183">
      <c r="C183" s="1"/>
      <c r="E183" s="2"/>
      <c r="F183" s="2"/>
    </row>
    <row r="184">
      <c r="C184" s="1"/>
      <c r="E184" s="2"/>
      <c r="F184" s="2"/>
    </row>
    <row r="185">
      <c r="C185" s="1"/>
      <c r="E185" s="2"/>
      <c r="F185" s="2"/>
    </row>
    <row r="186">
      <c r="C186" s="1"/>
      <c r="E186" s="2"/>
      <c r="F186" s="2"/>
    </row>
    <row r="187">
      <c r="C187" s="1"/>
      <c r="E187" s="2"/>
      <c r="F187" s="2"/>
    </row>
    <row r="188">
      <c r="C188" s="1"/>
      <c r="E188" s="2"/>
      <c r="F188" s="2"/>
    </row>
    <row r="189">
      <c r="C189" s="1"/>
      <c r="E189" s="2"/>
      <c r="F189" s="2"/>
    </row>
    <row r="190">
      <c r="C190" s="1"/>
      <c r="E190" s="2"/>
      <c r="F190" s="2"/>
    </row>
    <row r="191">
      <c r="C191" s="1"/>
      <c r="E191" s="2"/>
      <c r="F191" s="2"/>
    </row>
    <row r="192">
      <c r="C192" s="1"/>
      <c r="E192" s="2"/>
      <c r="F192" s="2"/>
    </row>
    <row r="193">
      <c r="C193" s="1"/>
      <c r="E193" s="2"/>
      <c r="F193" s="2"/>
    </row>
    <row r="194">
      <c r="C194" s="1"/>
      <c r="E194" s="2"/>
      <c r="F194" s="2"/>
    </row>
    <row r="195">
      <c r="C195" s="1"/>
      <c r="E195" s="2"/>
      <c r="F195" s="2"/>
    </row>
    <row r="196">
      <c r="C196" s="1"/>
      <c r="E196" s="2"/>
      <c r="F196" s="2"/>
    </row>
    <row r="197">
      <c r="C197" s="1"/>
      <c r="E197" s="2"/>
      <c r="F197" s="2"/>
    </row>
    <row r="198">
      <c r="C198" s="1"/>
      <c r="E198" s="2"/>
      <c r="F198" s="2"/>
    </row>
    <row r="199">
      <c r="C199" s="1"/>
      <c r="E199" s="2"/>
      <c r="F199" s="2"/>
    </row>
    <row r="200">
      <c r="C200" s="1"/>
      <c r="E200" s="2"/>
      <c r="F200" s="2"/>
    </row>
    <row r="201">
      <c r="C201" s="1"/>
      <c r="E201" s="2"/>
      <c r="F201" s="2"/>
    </row>
    <row r="202">
      <c r="C202" s="1"/>
      <c r="E202" s="2"/>
      <c r="F202" s="2"/>
    </row>
    <row r="203">
      <c r="C203" s="1"/>
      <c r="E203" s="2"/>
      <c r="F203" s="2"/>
    </row>
    <row r="204">
      <c r="C204" s="1"/>
      <c r="E204" s="2"/>
      <c r="F204" s="2"/>
    </row>
    <row r="205">
      <c r="C205" s="1"/>
      <c r="E205" s="2"/>
      <c r="F205" s="2"/>
    </row>
    <row r="206">
      <c r="C206" s="1"/>
      <c r="E206" s="2"/>
      <c r="F206" s="2"/>
    </row>
    <row r="207">
      <c r="C207" s="1"/>
      <c r="E207" s="2"/>
      <c r="F207" s="2"/>
    </row>
    <row r="208">
      <c r="C208" s="1"/>
      <c r="E208" s="2"/>
      <c r="F208" s="2"/>
    </row>
    <row r="209">
      <c r="C209" s="1"/>
      <c r="E209" s="2"/>
      <c r="F209" s="2"/>
    </row>
    <row r="210">
      <c r="C210" s="1"/>
      <c r="E210" s="2"/>
      <c r="F210" s="2"/>
    </row>
    <row r="211">
      <c r="C211" s="1"/>
      <c r="E211" s="2"/>
      <c r="F211" s="2"/>
    </row>
    <row r="212">
      <c r="C212" s="1"/>
      <c r="E212" s="2"/>
      <c r="F212" s="2"/>
    </row>
    <row r="213">
      <c r="C213" s="1"/>
      <c r="E213" s="2"/>
      <c r="F213" s="2"/>
    </row>
    <row r="214">
      <c r="C214" s="1"/>
      <c r="E214" s="2"/>
      <c r="F214" s="2"/>
    </row>
    <row r="215">
      <c r="C215" s="1"/>
      <c r="E215" s="2"/>
      <c r="F215" s="2"/>
    </row>
    <row r="216">
      <c r="C216" s="1"/>
      <c r="E216" s="2"/>
      <c r="F216" s="2"/>
    </row>
    <row r="217">
      <c r="C217" s="1"/>
      <c r="E217" s="2"/>
      <c r="F217" s="2"/>
    </row>
    <row r="218">
      <c r="C218" s="1"/>
      <c r="E218" s="2"/>
      <c r="F218" s="2"/>
    </row>
    <row r="219">
      <c r="C219" s="1"/>
      <c r="E219" s="2"/>
      <c r="F219" s="2"/>
    </row>
    <row r="220">
      <c r="C220" s="1"/>
      <c r="E220" s="2"/>
      <c r="F220" s="2"/>
    </row>
    <row r="221">
      <c r="C221" s="1"/>
      <c r="E221" s="2"/>
      <c r="F221" s="2"/>
    </row>
    <row r="222">
      <c r="C222" s="1"/>
      <c r="E222" s="2"/>
      <c r="F222" s="2"/>
    </row>
    <row r="223">
      <c r="C223" s="1"/>
      <c r="E223" s="2"/>
      <c r="F223" s="2"/>
    </row>
    <row r="224">
      <c r="C224" s="1"/>
      <c r="E224" s="2"/>
      <c r="F224" s="2"/>
    </row>
    <row r="225">
      <c r="C225" s="1"/>
      <c r="E225" s="2"/>
      <c r="F225" s="2"/>
    </row>
    <row r="226">
      <c r="C226" s="1"/>
      <c r="E226" s="2"/>
      <c r="F226" s="2"/>
    </row>
    <row r="227">
      <c r="C227" s="1"/>
      <c r="E227" s="2"/>
      <c r="F227" s="2"/>
    </row>
    <row r="228">
      <c r="C228" s="1"/>
      <c r="E228" s="2"/>
      <c r="F228" s="2"/>
    </row>
    <row r="229">
      <c r="C229" s="1"/>
      <c r="E229" s="2"/>
      <c r="F229" s="2"/>
    </row>
    <row r="230">
      <c r="C230" s="1"/>
      <c r="E230" s="2"/>
      <c r="F230" s="2"/>
    </row>
    <row r="231">
      <c r="C231" s="1"/>
      <c r="E231" s="2"/>
      <c r="F231" s="2"/>
    </row>
    <row r="232">
      <c r="C232" s="1"/>
      <c r="E232" s="2"/>
      <c r="F232" s="2"/>
    </row>
    <row r="233">
      <c r="C233" s="1"/>
      <c r="E233" s="2"/>
      <c r="F233" s="2"/>
    </row>
    <row r="234">
      <c r="C234" s="1"/>
      <c r="E234" s="2"/>
      <c r="F234" s="2"/>
    </row>
    <row r="235">
      <c r="C235" s="1"/>
      <c r="E235" s="2"/>
      <c r="F235" s="2"/>
    </row>
    <row r="236">
      <c r="C236" s="1"/>
      <c r="E236" s="2"/>
      <c r="F236" s="2"/>
    </row>
    <row r="237">
      <c r="C237" s="1"/>
      <c r="E237" s="2"/>
      <c r="F237" s="2"/>
    </row>
    <row r="238">
      <c r="C238" s="1"/>
      <c r="E238" s="2"/>
      <c r="F238" s="2"/>
    </row>
    <row r="239">
      <c r="C239" s="1"/>
      <c r="E239" s="2"/>
      <c r="F239" s="2"/>
    </row>
    <row r="240">
      <c r="C240" s="1"/>
      <c r="E240" s="2"/>
      <c r="F240" s="2"/>
    </row>
    <row r="241">
      <c r="C241" s="1"/>
      <c r="E241" s="2"/>
      <c r="F241" s="2"/>
    </row>
    <row r="242">
      <c r="C242" s="1"/>
      <c r="E242" s="2"/>
      <c r="F242" s="2"/>
    </row>
    <row r="243">
      <c r="C243" s="1"/>
      <c r="E243" s="2"/>
      <c r="F243" s="2"/>
    </row>
    <row r="244">
      <c r="C244" s="1"/>
      <c r="E244" s="2"/>
      <c r="F244" s="2"/>
    </row>
    <row r="245">
      <c r="C245" s="1"/>
      <c r="E245" s="2"/>
      <c r="F245" s="2"/>
    </row>
    <row r="246">
      <c r="C246" s="1"/>
      <c r="E246" s="2"/>
      <c r="F246" s="2"/>
    </row>
    <row r="247">
      <c r="C247" s="1"/>
      <c r="E247" s="2"/>
      <c r="F247" s="2"/>
    </row>
    <row r="248">
      <c r="C248" s="1"/>
      <c r="E248" s="2"/>
      <c r="F248" s="2"/>
    </row>
    <row r="249">
      <c r="C249" s="1"/>
      <c r="E249" s="2"/>
      <c r="F249" s="2"/>
    </row>
    <row r="250">
      <c r="C250" s="1"/>
      <c r="E250" s="2"/>
      <c r="F250" s="2"/>
    </row>
    <row r="251">
      <c r="C251" s="1"/>
      <c r="E251" s="2"/>
      <c r="F251" s="2"/>
    </row>
    <row r="252">
      <c r="C252" s="1"/>
      <c r="E252" s="2"/>
      <c r="F252" s="2"/>
    </row>
    <row r="253">
      <c r="C253" s="1"/>
      <c r="E253" s="2"/>
      <c r="F253" s="2"/>
    </row>
    <row r="254">
      <c r="C254" s="1"/>
      <c r="E254" s="2"/>
      <c r="F254" s="2"/>
    </row>
    <row r="255">
      <c r="C255" s="1"/>
      <c r="E255" s="2"/>
      <c r="F255" s="2"/>
    </row>
    <row r="256">
      <c r="C256" s="1"/>
      <c r="E256" s="2"/>
      <c r="F256" s="2"/>
    </row>
    <row r="257">
      <c r="C257" s="1"/>
      <c r="E257" s="2"/>
      <c r="F257" s="2"/>
    </row>
    <row r="258">
      <c r="C258" s="1"/>
      <c r="E258" s="2"/>
      <c r="F258" s="2"/>
    </row>
    <row r="259">
      <c r="C259" s="1"/>
      <c r="E259" s="2"/>
      <c r="F259" s="2"/>
    </row>
    <row r="260">
      <c r="C260" s="1"/>
      <c r="E260" s="2"/>
      <c r="F260" s="2"/>
    </row>
    <row r="261">
      <c r="C261" s="1"/>
      <c r="E261" s="2"/>
      <c r="F261" s="2"/>
    </row>
    <row r="262">
      <c r="C262" s="1"/>
      <c r="E262" s="2"/>
      <c r="F262" s="2"/>
    </row>
    <row r="263">
      <c r="C263" s="1"/>
      <c r="E263" s="2"/>
      <c r="F263" s="2"/>
    </row>
    <row r="264">
      <c r="C264" s="1"/>
      <c r="E264" s="2"/>
      <c r="F264" s="2"/>
    </row>
    <row r="265">
      <c r="C265" s="1"/>
      <c r="E265" s="2"/>
      <c r="F265" s="2"/>
    </row>
    <row r="266">
      <c r="C266" s="1"/>
      <c r="E266" s="2"/>
      <c r="F266" s="2"/>
    </row>
    <row r="267">
      <c r="C267" s="1"/>
      <c r="E267" s="2"/>
      <c r="F267" s="2"/>
    </row>
    <row r="268">
      <c r="C268" s="1"/>
      <c r="E268" s="2"/>
      <c r="F268" s="2"/>
    </row>
    <row r="269">
      <c r="C269" s="1"/>
      <c r="E269" s="2"/>
      <c r="F269" s="2"/>
    </row>
    <row r="270">
      <c r="C270" s="1"/>
      <c r="E270" s="2"/>
      <c r="F270" s="2"/>
    </row>
    <row r="271">
      <c r="C271" s="1"/>
      <c r="E271" s="2"/>
      <c r="F271" s="2"/>
    </row>
    <row r="272">
      <c r="C272" s="1"/>
      <c r="E272" s="2"/>
      <c r="F272" s="2"/>
    </row>
    <row r="273">
      <c r="C273" s="1"/>
      <c r="E273" s="2"/>
      <c r="F273" s="2"/>
    </row>
    <row r="274">
      <c r="C274" s="1"/>
      <c r="E274" s="2"/>
      <c r="F274" s="2"/>
    </row>
    <row r="275">
      <c r="C275" s="1"/>
      <c r="E275" s="2"/>
      <c r="F275" s="2"/>
    </row>
    <row r="276">
      <c r="C276" s="1"/>
      <c r="E276" s="2"/>
      <c r="F276" s="2"/>
    </row>
    <row r="277">
      <c r="C277" s="1"/>
      <c r="E277" s="2"/>
      <c r="F277" s="2"/>
    </row>
    <row r="278">
      <c r="C278" s="1"/>
      <c r="E278" s="2"/>
      <c r="F278" s="2"/>
    </row>
    <row r="279">
      <c r="C279" s="1"/>
      <c r="E279" s="2"/>
      <c r="F279" s="2"/>
    </row>
    <row r="280">
      <c r="C280" s="1"/>
      <c r="E280" s="2"/>
      <c r="F280" s="2"/>
    </row>
    <row r="281">
      <c r="C281" s="1"/>
      <c r="E281" s="2"/>
      <c r="F281" s="2"/>
    </row>
    <row r="282">
      <c r="C282" s="1"/>
      <c r="E282" s="2"/>
      <c r="F282" s="2"/>
    </row>
    <row r="283">
      <c r="C283" s="1"/>
      <c r="E283" s="2"/>
      <c r="F283" s="2"/>
    </row>
    <row r="284">
      <c r="C284" s="1"/>
      <c r="E284" s="2"/>
      <c r="F284" s="2"/>
    </row>
    <row r="285">
      <c r="C285" s="1"/>
      <c r="E285" s="2"/>
      <c r="F285" s="2"/>
    </row>
    <row r="286">
      <c r="C286" s="1"/>
      <c r="E286" s="2"/>
      <c r="F286" s="2"/>
    </row>
    <row r="287">
      <c r="C287" s="1"/>
      <c r="E287" s="2"/>
      <c r="F287" s="2"/>
    </row>
    <row r="288">
      <c r="C288" s="1"/>
      <c r="E288" s="2"/>
      <c r="F288" s="2"/>
    </row>
    <row r="289">
      <c r="C289" s="1"/>
      <c r="E289" s="2"/>
      <c r="F289" s="2"/>
    </row>
    <row r="290">
      <c r="C290" s="1"/>
      <c r="E290" s="2"/>
      <c r="F290" s="2"/>
    </row>
    <row r="291">
      <c r="C291" s="1"/>
      <c r="E291" s="2"/>
      <c r="F291" s="2"/>
    </row>
    <row r="292">
      <c r="C292" s="1"/>
      <c r="E292" s="2"/>
      <c r="F292" s="2"/>
    </row>
    <row r="293">
      <c r="C293" s="1"/>
      <c r="E293" s="2"/>
      <c r="F293" s="2"/>
    </row>
    <row r="294">
      <c r="C294" s="1"/>
      <c r="E294" s="2"/>
      <c r="F294" s="2"/>
    </row>
    <row r="295">
      <c r="C295" s="1"/>
      <c r="E295" s="2"/>
      <c r="F295" s="2"/>
    </row>
    <row r="296">
      <c r="C296" s="1"/>
      <c r="E296" s="2"/>
      <c r="F296" s="2"/>
    </row>
    <row r="297">
      <c r="C297" s="1"/>
      <c r="E297" s="2"/>
      <c r="F297" s="2"/>
    </row>
    <row r="298">
      <c r="C298" s="1"/>
      <c r="E298" s="2"/>
      <c r="F298" s="2"/>
    </row>
    <row r="299">
      <c r="C299" s="1"/>
      <c r="E299" s="2"/>
      <c r="F299" s="2"/>
    </row>
    <row r="300">
      <c r="C300" s="1"/>
      <c r="E300" s="2"/>
      <c r="F300" s="2"/>
    </row>
    <row r="301">
      <c r="C301" s="1"/>
      <c r="E301" s="2"/>
      <c r="F301" s="2"/>
    </row>
    <row r="302">
      <c r="C302" s="1"/>
      <c r="E302" s="2"/>
      <c r="F302" s="2"/>
    </row>
    <row r="303">
      <c r="C303" s="1"/>
      <c r="E303" s="2"/>
      <c r="F303" s="2"/>
    </row>
    <row r="304">
      <c r="C304" s="1"/>
      <c r="E304" s="2"/>
      <c r="F304" s="2"/>
    </row>
    <row r="305">
      <c r="C305" s="1"/>
      <c r="E305" s="2"/>
      <c r="F305" s="2"/>
    </row>
    <row r="306">
      <c r="C306" s="1"/>
      <c r="E306" s="2"/>
      <c r="F306" s="2"/>
    </row>
    <row r="307">
      <c r="C307" s="1"/>
      <c r="E307" s="2"/>
      <c r="F307" s="2"/>
    </row>
    <row r="308">
      <c r="C308" s="1"/>
      <c r="E308" s="2"/>
      <c r="F308" s="2"/>
    </row>
    <row r="309">
      <c r="C309" s="1"/>
      <c r="E309" s="2"/>
      <c r="F309" s="2"/>
    </row>
    <row r="310">
      <c r="C310" s="1"/>
      <c r="E310" s="2"/>
      <c r="F310" s="2"/>
    </row>
    <row r="311">
      <c r="C311" s="1"/>
      <c r="E311" s="2"/>
      <c r="F311" s="2"/>
    </row>
    <row r="312">
      <c r="C312" s="1"/>
      <c r="E312" s="2"/>
      <c r="F312" s="2"/>
    </row>
    <row r="313">
      <c r="C313" s="1"/>
      <c r="E313" s="2"/>
      <c r="F313" s="2"/>
    </row>
    <row r="314">
      <c r="C314" s="1"/>
      <c r="E314" s="2"/>
      <c r="F314" s="2"/>
    </row>
    <row r="315">
      <c r="C315" s="1"/>
      <c r="E315" s="2"/>
      <c r="F315" s="2"/>
    </row>
    <row r="316">
      <c r="C316" s="1"/>
      <c r="E316" s="2"/>
      <c r="F316" s="2"/>
    </row>
    <row r="317">
      <c r="C317" s="1"/>
      <c r="E317" s="2"/>
      <c r="F317" s="2"/>
    </row>
    <row r="318">
      <c r="C318" s="1"/>
      <c r="E318" s="2"/>
      <c r="F318" s="2"/>
    </row>
    <row r="319">
      <c r="C319" s="1"/>
      <c r="E319" s="2"/>
      <c r="F319" s="2"/>
    </row>
    <row r="320">
      <c r="C320" s="1"/>
      <c r="E320" s="2"/>
      <c r="F320" s="2"/>
    </row>
    <row r="321">
      <c r="C321" s="1"/>
      <c r="E321" s="2"/>
      <c r="F321" s="2"/>
    </row>
    <row r="322">
      <c r="C322" s="1"/>
      <c r="E322" s="2"/>
      <c r="F322" s="2"/>
    </row>
    <row r="323">
      <c r="C323" s="1"/>
      <c r="E323" s="2"/>
      <c r="F323" s="2"/>
    </row>
    <row r="324">
      <c r="C324" s="1"/>
      <c r="E324" s="2"/>
      <c r="F324" s="2"/>
    </row>
    <row r="325">
      <c r="C325" s="1"/>
      <c r="E325" s="2"/>
      <c r="F325" s="2"/>
    </row>
    <row r="326">
      <c r="C326" s="1"/>
      <c r="E326" s="2"/>
      <c r="F326" s="2"/>
    </row>
    <row r="327">
      <c r="C327" s="1"/>
      <c r="E327" s="2"/>
      <c r="F327" s="2"/>
    </row>
    <row r="328">
      <c r="C328" s="1"/>
      <c r="E328" s="2"/>
      <c r="F328" s="2"/>
    </row>
    <row r="329">
      <c r="C329" s="1"/>
      <c r="E329" s="2"/>
      <c r="F329" s="2"/>
    </row>
    <row r="330">
      <c r="C330" s="1"/>
      <c r="E330" s="2"/>
      <c r="F330" s="2"/>
    </row>
    <row r="331">
      <c r="C331" s="1"/>
      <c r="E331" s="2"/>
      <c r="F331" s="2"/>
    </row>
    <row r="332">
      <c r="C332" s="1"/>
      <c r="E332" s="2"/>
      <c r="F332" s="2"/>
    </row>
    <row r="333">
      <c r="C333" s="1"/>
      <c r="E333" s="2"/>
      <c r="F333" s="2"/>
    </row>
    <row r="334">
      <c r="C334" s="1"/>
      <c r="E334" s="2"/>
      <c r="F334" s="2"/>
    </row>
    <row r="335">
      <c r="C335" s="1"/>
      <c r="E335" s="2"/>
      <c r="F335" s="2"/>
    </row>
    <row r="336">
      <c r="C336" s="1"/>
      <c r="E336" s="2"/>
      <c r="F336" s="2"/>
    </row>
    <row r="337">
      <c r="C337" s="1"/>
      <c r="E337" s="2"/>
      <c r="F337" s="2"/>
    </row>
    <row r="338">
      <c r="C338" s="1"/>
      <c r="E338" s="2"/>
      <c r="F338" s="2"/>
    </row>
    <row r="339">
      <c r="C339" s="1"/>
      <c r="E339" s="2"/>
      <c r="F339" s="2"/>
    </row>
    <row r="340">
      <c r="C340" s="1"/>
      <c r="E340" s="2"/>
      <c r="F340" s="2"/>
    </row>
    <row r="341">
      <c r="C341" s="1"/>
      <c r="E341" s="2"/>
      <c r="F341" s="2"/>
    </row>
    <row r="342">
      <c r="C342" s="1"/>
      <c r="E342" s="2"/>
      <c r="F342" s="2"/>
    </row>
    <row r="343">
      <c r="C343" s="1"/>
      <c r="E343" s="2"/>
      <c r="F343" s="2"/>
    </row>
    <row r="344">
      <c r="C344" s="1"/>
      <c r="E344" s="2"/>
      <c r="F344" s="2"/>
    </row>
    <row r="345">
      <c r="C345" s="1"/>
      <c r="E345" s="2"/>
      <c r="F345" s="2"/>
    </row>
    <row r="346">
      <c r="C346" s="1"/>
      <c r="E346" s="2"/>
      <c r="F346" s="2"/>
    </row>
    <row r="347">
      <c r="C347" s="1"/>
      <c r="E347" s="2"/>
      <c r="F347" s="2"/>
    </row>
    <row r="348">
      <c r="C348" s="1"/>
      <c r="E348" s="2"/>
      <c r="F348" s="2"/>
    </row>
    <row r="349">
      <c r="C349" s="1"/>
      <c r="E349" s="2"/>
      <c r="F349" s="2"/>
    </row>
    <row r="350">
      <c r="C350" s="1"/>
      <c r="E350" s="2"/>
      <c r="F350" s="2"/>
    </row>
    <row r="351">
      <c r="C351" s="1"/>
      <c r="E351" s="2"/>
      <c r="F351" s="2"/>
    </row>
    <row r="352">
      <c r="C352" s="1"/>
      <c r="E352" s="2"/>
      <c r="F352" s="2"/>
    </row>
    <row r="353">
      <c r="C353" s="1"/>
      <c r="E353" s="2"/>
      <c r="F353" s="2"/>
    </row>
    <row r="354">
      <c r="C354" s="1"/>
      <c r="E354" s="2"/>
      <c r="F354" s="2"/>
    </row>
    <row r="355">
      <c r="C355" s="1"/>
      <c r="E355" s="2"/>
      <c r="F355" s="2"/>
    </row>
    <row r="356">
      <c r="C356" s="1"/>
      <c r="E356" s="2"/>
      <c r="F356" s="2"/>
    </row>
    <row r="357">
      <c r="C357" s="1"/>
      <c r="E357" s="2"/>
      <c r="F357" s="2"/>
    </row>
    <row r="358">
      <c r="C358" s="1"/>
      <c r="E358" s="2"/>
      <c r="F358" s="2"/>
    </row>
    <row r="359">
      <c r="C359" s="1"/>
      <c r="E359" s="2"/>
      <c r="F359" s="2"/>
    </row>
    <row r="360">
      <c r="C360" s="1"/>
      <c r="E360" s="2"/>
      <c r="F360" s="2"/>
    </row>
    <row r="361">
      <c r="C361" s="1"/>
      <c r="E361" s="2"/>
      <c r="F361" s="2"/>
    </row>
    <row r="362">
      <c r="C362" s="1"/>
      <c r="E362" s="2"/>
      <c r="F362" s="2"/>
    </row>
    <row r="363">
      <c r="C363" s="1"/>
      <c r="E363" s="2"/>
      <c r="F363" s="2"/>
    </row>
    <row r="364">
      <c r="C364" s="1"/>
      <c r="E364" s="2"/>
      <c r="F364" s="2"/>
    </row>
    <row r="365">
      <c r="C365" s="1"/>
      <c r="E365" s="2"/>
      <c r="F365" s="2"/>
    </row>
    <row r="366">
      <c r="C366" s="1"/>
      <c r="E366" s="2"/>
      <c r="F366" s="2"/>
    </row>
    <row r="367">
      <c r="C367" s="1"/>
      <c r="E367" s="2"/>
      <c r="F367" s="2"/>
    </row>
    <row r="368">
      <c r="C368" s="1"/>
      <c r="E368" s="2"/>
      <c r="F368" s="2"/>
    </row>
    <row r="369">
      <c r="C369" s="1"/>
      <c r="E369" s="2"/>
      <c r="F369" s="2"/>
    </row>
    <row r="370">
      <c r="C370" s="1"/>
      <c r="E370" s="2"/>
      <c r="F370" s="2"/>
    </row>
    <row r="371">
      <c r="C371" s="1"/>
      <c r="E371" s="2"/>
      <c r="F371" s="2"/>
    </row>
    <row r="372">
      <c r="C372" s="1"/>
      <c r="E372" s="2"/>
      <c r="F372" s="2"/>
    </row>
    <row r="373">
      <c r="C373" s="1"/>
      <c r="E373" s="2"/>
      <c r="F373" s="2"/>
    </row>
    <row r="374">
      <c r="C374" s="1"/>
      <c r="E374" s="2"/>
      <c r="F374" s="2"/>
    </row>
    <row r="375">
      <c r="C375" s="1"/>
      <c r="E375" s="2"/>
      <c r="F375" s="2"/>
    </row>
    <row r="376">
      <c r="C376" s="1"/>
      <c r="E376" s="2"/>
      <c r="F376" s="2"/>
    </row>
    <row r="377">
      <c r="C377" s="1"/>
      <c r="E377" s="2"/>
      <c r="F377" s="2"/>
    </row>
    <row r="378">
      <c r="C378" s="1"/>
      <c r="E378" s="2"/>
      <c r="F378" s="2"/>
    </row>
    <row r="379">
      <c r="C379" s="1"/>
      <c r="E379" s="2"/>
      <c r="F379" s="2"/>
    </row>
    <row r="380">
      <c r="C380" s="1"/>
      <c r="E380" s="2"/>
      <c r="F380" s="2"/>
    </row>
    <row r="381">
      <c r="C381" s="1"/>
      <c r="E381" s="2"/>
      <c r="F381" s="2"/>
    </row>
    <row r="382">
      <c r="C382" s="1"/>
      <c r="E382" s="2"/>
      <c r="F382" s="2"/>
    </row>
    <row r="383">
      <c r="C383" s="1"/>
      <c r="E383" s="2"/>
      <c r="F383" s="2"/>
    </row>
    <row r="384">
      <c r="C384" s="1"/>
      <c r="E384" s="2"/>
      <c r="F384" s="2"/>
    </row>
    <row r="385">
      <c r="C385" s="1"/>
      <c r="E385" s="2"/>
      <c r="F385" s="2"/>
    </row>
    <row r="386">
      <c r="C386" s="1"/>
      <c r="E386" s="2"/>
      <c r="F386" s="2"/>
    </row>
    <row r="387">
      <c r="C387" s="1"/>
      <c r="E387" s="2"/>
      <c r="F387" s="2"/>
    </row>
    <row r="388">
      <c r="C388" s="1"/>
      <c r="E388" s="2"/>
      <c r="F388" s="2"/>
    </row>
    <row r="389">
      <c r="C389" s="1"/>
      <c r="E389" s="2"/>
      <c r="F389" s="2"/>
    </row>
    <row r="390">
      <c r="C390" s="1"/>
      <c r="E390" s="2"/>
      <c r="F390" s="2"/>
    </row>
    <row r="391">
      <c r="C391" s="1"/>
      <c r="E391" s="2"/>
      <c r="F391" s="2"/>
    </row>
    <row r="392">
      <c r="C392" s="1"/>
      <c r="E392" s="2"/>
      <c r="F392" s="2"/>
    </row>
    <row r="393">
      <c r="C393" s="1"/>
      <c r="E393" s="2"/>
      <c r="F393" s="2"/>
    </row>
    <row r="394">
      <c r="C394" s="1"/>
      <c r="E394" s="2"/>
      <c r="F394" s="2"/>
    </row>
    <row r="395">
      <c r="C395" s="1"/>
      <c r="E395" s="2"/>
      <c r="F395" s="2"/>
    </row>
    <row r="396">
      <c r="C396" s="1"/>
      <c r="E396" s="2"/>
      <c r="F396" s="2"/>
    </row>
    <row r="397">
      <c r="C397" s="1"/>
      <c r="E397" s="2"/>
      <c r="F397" s="2"/>
    </row>
    <row r="398">
      <c r="C398" s="1"/>
      <c r="E398" s="2"/>
      <c r="F398" s="2"/>
    </row>
    <row r="399">
      <c r="C399" s="1"/>
      <c r="E399" s="2"/>
      <c r="F399" s="2"/>
    </row>
    <row r="400">
      <c r="C400" s="1"/>
      <c r="E400" s="2"/>
      <c r="F400" s="2"/>
    </row>
    <row r="401">
      <c r="C401" s="1"/>
      <c r="E401" s="2"/>
      <c r="F401" s="2"/>
    </row>
    <row r="402">
      <c r="C402" s="1"/>
      <c r="E402" s="2"/>
      <c r="F402" s="2"/>
    </row>
    <row r="403">
      <c r="C403" s="1"/>
      <c r="E403" s="2"/>
      <c r="F403" s="2"/>
    </row>
    <row r="404">
      <c r="C404" s="1"/>
      <c r="E404" s="2"/>
      <c r="F404" s="2"/>
    </row>
    <row r="405">
      <c r="C405" s="1"/>
      <c r="E405" s="2"/>
      <c r="F405" s="2"/>
    </row>
    <row r="406">
      <c r="C406" s="1"/>
      <c r="E406" s="2"/>
      <c r="F406" s="2"/>
    </row>
    <row r="407">
      <c r="C407" s="1"/>
      <c r="E407" s="2"/>
      <c r="F407" s="2"/>
    </row>
    <row r="408">
      <c r="C408" s="1"/>
      <c r="E408" s="2"/>
      <c r="F408" s="2"/>
    </row>
    <row r="409">
      <c r="C409" s="1"/>
      <c r="E409" s="2"/>
      <c r="F409" s="2"/>
    </row>
    <row r="410">
      <c r="C410" s="1"/>
      <c r="E410" s="2"/>
      <c r="F410" s="2"/>
    </row>
    <row r="411">
      <c r="C411" s="1"/>
      <c r="E411" s="2"/>
      <c r="F411" s="2"/>
    </row>
    <row r="412">
      <c r="C412" s="1"/>
      <c r="E412" s="2"/>
      <c r="F412" s="2"/>
    </row>
    <row r="413">
      <c r="C413" s="1"/>
      <c r="E413" s="2"/>
      <c r="F413" s="2"/>
    </row>
    <row r="414">
      <c r="C414" s="1"/>
      <c r="E414" s="2"/>
      <c r="F414" s="2"/>
    </row>
    <row r="415">
      <c r="C415" s="1"/>
      <c r="E415" s="2"/>
      <c r="F415" s="2"/>
    </row>
    <row r="416">
      <c r="C416" s="1"/>
      <c r="E416" s="2"/>
      <c r="F416" s="2"/>
    </row>
    <row r="417">
      <c r="C417" s="1"/>
      <c r="E417" s="2"/>
      <c r="F417" s="2"/>
    </row>
    <row r="418">
      <c r="C418" s="1"/>
      <c r="E418" s="2"/>
      <c r="F418" s="2"/>
    </row>
    <row r="419">
      <c r="C419" s="1"/>
      <c r="E419" s="2"/>
      <c r="F419" s="2"/>
    </row>
    <row r="420">
      <c r="C420" s="1"/>
      <c r="E420" s="2"/>
      <c r="F420" s="2"/>
    </row>
    <row r="421">
      <c r="C421" s="1"/>
      <c r="E421" s="2"/>
      <c r="F421" s="2"/>
    </row>
    <row r="422">
      <c r="C422" s="1"/>
      <c r="E422" s="2"/>
      <c r="F422" s="2"/>
    </row>
    <row r="423">
      <c r="C423" s="1"/>
      <c r="E423" s="2"/>
      <c r="F423" s="2"/>
    </row>
    <row r="424">
      <c r="C424" s="1"/>
      <c r="E424" s="2"/>
      <c r="F424" s="2"/>
    </row>
    <row r="425">
      <c r="C425" s="1"/>
      <c r="E425" s="2"/>
      <c r="F425" s="2"/>
    </row>
    <row r="426">
      <c r="C426" s="1"/>
      <c r="E426" s="2"/>
      <c r="F426" s="2"/>
    </row>
    <row r="427">
      <c r="C427" s="1"/>
      <c r="E427" s="2"/>
      <c r="F427" s="2"/>
    </row>
    <row r="428">
      <c r="C428" s="1"/>
      <c r="E428" s="2"/>
      <c r="F428" s="2"/>
    </row>
    <row r="429">
      <c r="C429" s="1"/>
      <c r="E429" s="2"/>
      <c r="F429" s="2"/>
    </row>
    <row r="430">
      <c r="C430" s="1"/>
      <c r="E430" s="2"/>
      <c r="F430" s="2"/>
    </row>
    <row r="431">
      <c r="C431" s="1"/>
      <c r="E431" s="2"/>
      <c r="F431" s="2"/>
    </row>
    <row r="432">
      <c r="C432" s="1"/>
      <c r="E432" s="2"/>
      <c r="F432" s="2"/>
    </row>
    <row r="433">
      <c r="C433" s="1"/>
      <c r="E433" s="2"/>
      <c r="F433" s="2"/>
    </row>
    <row r="434">
      <c r="C434" s="1"/>
      <c r="E434" s="2"/>
      <c r="F434" s="2"/>
    </row>
    <row r="435">
      <c r="C435" s="1"/>
      <c r="E435" s="2"/>
      <c r="F435" s="2"/>
    </row>
    <row r="436">
      <c r="C436" s="1"/>
      <c r="E436" s="2"/>
      <c r="F436" s="2"/>
    </row>
    <row r="437">
      <c r="C437" s="1"/>
      <c r="E437" s="2"/>
      <c r="F437" s="2"/>
    </row>
    <row r="438">
      <c r="C438" s="1"/>
      <c r="E438" s="2"/>
      <c r="F438" s="2"/>
    </row>
    <row r="439">
      <c r="C439" s="1"/>
      <c r="E439" s="2"/>
      <c r="F439" s="2"/>
    </row>
    <row r="440">
      <c r="C440" s="1"/>
      <c r="E440" s="2"/>
      <c r="F440" s="2"/>
    </row>
    <row r="441">
      <c r="C441" s="1"/>
      <c r="E441" s="2"/>
      <c r="F441" s="2"/>
    </row>
    <row r="442">
      <c r="C442" s="1"/>
      <c r="E442" s="2"/>
      <c r="F442" s="2"/>
    </row>
    <row r="443">
      <c r="C443" s="1"/>
      <c r="E443" s="2"/>
      <c r="F443" s="2"/>
    </row>
    <row r="444">
      <c r="C444" s="1"/>
      <c r="E444" s="2"/>
      <c r="F444" s="2"/>
    </row>
    <row r="445">
      <c r="C445" s="1"/>
      <c r="E445" s="2"/>
      <c r="F445" s="2"/>
    </row>
    <row r="446">
      <c r="C446" s="1"/>
      <c r="E446" s="2"/>
      <c r="F446" s="2"/>
    </row>
    <row r="447">
      <c r="C447" s="1"/>
      <c r="E447" s="2"/>
      <c r="F447" s="2"/>
    </row>
    <row r="448">
      <c r="C448" s="1"/>
      <c r="E448" s="2"/>
      <c r="F448" s="2"/>
    </row>
    <row r="449">
      <c r="C449" s="1"/>
      <c r="E449" s="2"/>
      <c r="F449" s="2"/>
    </row>
    <row r="450">
      <c r="C450" s="1"/>
      <c r="E450" s="2"/>
      <c r="F450" s="2"/>
    </row>
    <row r="451">
      <c r="C451" s="1"/>
      <c r="E451" s="2"/>
      <c r="F451" s="2"/>
    </row>
    <row r="452">
      <c r="C452" s="1"/>
      <c r="E452" s="2"/>
      <c r="F452" s="2"/>
    </row>
    <row r="453">
      <c r="C453" s="1"/>
      <c r="E453" s="2"/>
      <c r="F453" s="2"/>
    </row>
    <row r="454">
      <c r="C454" s="1"/>
      <c r="E454" s="2"/>
      <c r="F454" s="2"/>
    </row>
    <row r="455">
      <c r="C455" s="1"/>
      <c r="E455" s="2"/>
      <c r="F455" s="2"/>
    </row>
    <row r="456">
      <c r="C456" s="1"/>
      <c r="E456" s="2"/>
      <c r="F456" s="2"/>
    </row>
    <row r="457">
      <c r="C457" s="1"/>
      <c r="E457" s="2"/>
      <c r="F457" s="2"/>
    </row>
    <row r="458">
      <c r="C458" s="1"/>
      <c r="E458" s="2"/>
      <c r="F458" s="2"/>
    </row>
    <row r="459">
      <c r="C459" s="1"/>
      <c r="E459" s="2"/>
      <c r="F459" s="2"/>
    </row>
    <row r="460">
      <c r="C460" s="1"/>
      <c r="E460" s="2"/>
      <c r="F460" s="2"/>
    </row>
    <row r="461">
      <c r="C461" s="1"/>
      <c r="E461" s="2"/>
      <c r="F461" s="2"/>
    </row>
    <row r="462">
      <c r="C462" s="1"/>
      <c r="E462" s="2"/>
      <c r="F462" s="2"/>
    </row>
    <row r="463">
      <c r="C463" s="1"/>
      <c r="E463" s="2"/>
      <c r="F463" s="2"/>
    </row>
    <row r="464">
      <c r="C464" s="1"/>
      <c r="E464" s="2"/>
      <c r="F464" s="2"/>
    </row>
    <row r="465">
      <c r="C465" s="1"/>
      <c r="E465" s="2"/>
      <c r="F465" s="2"/>
    </row>
    <row r="466">
      <c r="C466" s="1"/>
      <c r="E466" s="2"/>
      <c r="F466" s="2"/>
    </row>
    <row r="467">
      <c r="C467" s="1"/>
      <c r="E467" s="2"/>
      <c r="F467" s="2"/>
    </row>
    <row r="468">
      <c r="C468" s="1"/>
      <c r="E468" s="2"/>
      <c r="F468" s="2"/>
    </row>
    <row r="469">
      <c r="C469" s="1"/>
      <c r="E469" s="2"/>
      <c r="F469" s="2"/>
    </row>
    <row r="470">
      <c r="C470" s="1"/>
      <c r="E470" s="2"/>
      <c r="F470" s="2"/>
    </row>
    <row r="471">
      <c r="C471" s="1"/>
      <c r="E471" s="2"/>
      <c r="F471" s="2"/>
    </row>
    <row r="472">
      <c r="C472" s="1"/>
      <c r="E472" s="2"/>
      <c r="F472" s="2"/>
    </row>
    <row r="473">
      <c r="C473" s="1"/>
      <c r="E473" s="2"/>
      <c r="F473" s="2"/>
    </row>
    <row r="474">
      <c r="C474" s="1"/>
      <c r="E474" s="2"/>
      <c r="F474" s="2"/>
    </row>
    <row r="475">
      <c r="C475" s="1"/>
      <c r="E475" s="2"/>
      <c r="F475" s="2"/>
    </row>
    <row r="476">
      <c r="C476" s="1"/>
      <c r="E476" s="2"/>
      <c r="F476" s="2"/>
    </row>
    <row r="477">
      <c r="C477" s="1"/>
      <c r="E477" s="2"/>
      <c r="F477" s="2"/>
    </row>
    <row r="478">
      <c r="C478" s="1"/>
      <c r="E478" s="2"/>
      <c r="F478" s="2"/>
    </row>
    <row r="479">
      <c r="C479" s="1"/>
      <c r="E479" s="2"/>
      <c r="F479" s="2"/>
    </row>
    <row r="480">
      <c r="C480" s="1"/>
      <c r="E480" s="2"/>
      <c r="F480" s="2"/>
    </row>
    <row r="481">
      <c r="C481" s="1"/>
      <c r="E481" s="2"/>
      <c r="F481" s="2"/>
    </row>
    <row r="482">
      <c r="C482" s="1"/>
      <c r="E482" s="2"/>
      <c r="F482" s="2"/>
    </row>
    <row r="483">
      <c r="C483" s="1"/>
      <c r="E483" s="2"/>
      <c r="F483" s="2"/>
    </row>
    <row r="484">
      <c r="C484" s="1"/>
      <c r="E484" s="2"/>
      <c r="F484" s="2"/>
    </row>
    <row r="485">
      <c r="C485" s="1"/>
      <c r="E485" s="2"/>
      <c r="F485" s="2"/>
    </row>
    <row r="486">
      <c r="C486" s="1"/>
      <c r="E486" s="2"/>
      <c r="F486" s="2"/>
    </row>
    <row r="487">
      <c r="C487" s="1"/>
      <c r="E487" s="2"/>
      <c r="F487" s="2"/>
    </row>
    <row r="488">
      <c r="C488" s="1"/>
      <c r="E488" s="2"/>
      <c r="F488" s="2"/>
    </row>
    <row r="489">
      <c r="C489" s="1"/>
      <c r="E489" s="2"/>
      <c r="F489" s="2"/>
    </row>
    <row r="490">
      <c r="C490" s="1"/>
      <c r="E490" s="2"/>
      <c r="F490" s="2"/>
    </row>
    <row r="491">
      <c r="C491" s="1"/>
      <c r="E491" s="2"/>
      <c r="F491" s="2"/>
    </row>
    <row r="492">
      <c r="C492" s="1"/>
      <c r="E492" s="2"/>
      <c r="F492" s="2"/>
    </row>
    <row r="493">
      <c r="C493" s="1"/>
      <c r="E493" s="2"/>
      <c r="F493" s="2"/>
    </row>
    <row r="494">
      <c r="C494" s="1"/>
      <c r="E494" s="2"/>
      <c r="F494" s="2"/>
    </row>
    <row r="495">
      <c r="C495" s="1"/>
      <c r="E495" s="2"/>
      <c r="F495" s="2"/>
    </row>
    <row r="496">
      <c r="C496" s="1"/>
      <c r="E496" s="2"/>
      <c r="F496" s="2"/>
    </row>
    <row r="497">
      <c r="C497" s="1"/>
      <c r="E497" s="2"/>
      <c r="F497" s="2"/>
    </row>
    <row r="498">
      <c r="C498" s="1"/>
      <c r="E498" s="2"/>
      <c r="F498" s="2"/>
    </row>
    <row r="499">
      <c r="C499" s="1"/>
      <c r="E499" s="2"/>
      <c r="F499" s="2"/>
    </row>
    <row r="500">
      <c r="C500" s="1"/>
      <c r="E500" s="2"/>
      <c r="F500" s="2"/>
    </row>
    <row r="501">
      <c r="C501" s="1"/>
      <c r="E501" s="2"/>
      <c r="F501" s="2"/>
    </row>
    <row r="502">
      <c r="C502" s="1"/>
      <c r="E502" s="2"/>
      <c r="F502" s="2"/>
    </row>
    <row r="503">
      <c r="C503" s="1"/>
      <c r="E503" s="2"/>
      <c r="F503" s="2"/>
    </row>
    <row r="504">
      <c r="C504" s="1"/>
      <c r="E504" s="2"/>
      <c r="F504" s="2"/>
    </row>
    <row r="505">
      <c r="C505" s="1"/>
      <c r="E505" s="2"/>
      <c r="F505" s="2"/>
    </row>
    <row r="506">
      <c r="C506" s="1"/>
      <c r="E506" s="2"/>
      <c r="F506" s="2"/>
    </row>
    <row r="507">
      <c r="C507" s="1"/>
      <c r="E507" s="2"/>
      <c r="F507" s="2"/>
    </row>
    <row r="508">
      <c r="C508" s="1"/>
      <c r="E508" s="2"/>
      <c r="F508" s="2"/>
    </row>
    <row r="509">
      <c r="C509" s="1"/>
      <c r="E509" s="2"/>
      <c r="F509" s="2"/>
    </row>
    <row r="510">
      <c r="C510" s="1"/>
      <c r="E510" s="2"/>
      <c r="F510" s="2"/>
    </row>
    <row r="511">
      <c r="C511" s="1"/>
      <c r="E511" s="2"/>
      <c r="F511" s="2"/>
    </row>
    <row r="512">
      <c r="C512" s="1"/>
      <c r="E512" s="2"/>
      <c r="F512" s="2"/>
    </row>
    <row r="513">
      <c r="C513" s="1"/>
      <c r="E513" s="2"/>
      <c r="F513" s="2"/>
    </row>
    <row r="514">
      <c r="C514" s="1"/>
      <c r="E514" s="2"/>
      <c r="F514" s="2"/>
    </row>
    <row r="515">
      <c r="C515" s="1"/>
      <c r="E515" s="2"/>
      <c r="F515" s="2"/>
    </row>
    <row r="516">
      <c r="C516" s="1"/>
      <c r="E516" s="2"/>
      <c r="F516" s="2"/>
    </row>
    <row r="517">
      <c r="C517" s="1"/>
      <c r="E517" s="2"/>
      <c r="F517" s="2"/>
    </row>
    <row r="518">
      <c r="C518" s="1"/>
      <c r="E518" s="2"/>
      <c r="F518" s="2"/>
    </row>
    <row r="519">
      <c r="C519" s="1"/>
      <c r="E519" s="2"/>
      <c r="F519" s="2"/>
    </row>
    <row r="520">
      <c r="C520" s="1"/>
      <c r="E520" s="2"/>
      <c r="F520" s="2"/>
    </row>
    <row r="521">
      <c r="C521" s="1"/>
      <c r="E521" s="2"/>
      <c r="F521" s="2"/>
    </row>
    <row r="522">
      <c r="C522" s="1"/>
      <c r="E522" s="2"/>
      <c r="F522" s="2"/>
    </row>
    <row r="523">
      <c r="C523" s="1"/>
      <c r="E523" s="2"/>
      <c r="F523" s="2"/>
    </row>
    <row r="524">
      <c r="C524" s="1"/>
      <c r="E524" s="2"/>
      <c r="F524" s="2"/>
    </row>
    <row r="525">
      <c r="C525" s="1"/>
      <c r="E525" s="2"/>
      <c r="F525" s="2"/>
    </row>
    <row r="526">
      <c r="C526" s="1"/>
      <c r="E526" s="2"/>
      <c r="F526" s="2"/>
    </row>
    <row r="527">
      <c r="C527" s="1"/>
      <c r="E527" s="2"/>
      <c r="F527" s="2"/>
    </row>
    <row r="528">
      <c r="C528" s="1"/>
      <c r="E528" s="2"/>
      <c r="F528" s="2"/>
    </row>
    <row r="529">
      <c r="C529" s="1"/>
      <c r="E529" s="2"/>
      <c r="F529" s="2"/>
    </row>
    <row r="530">
      <c r="C530" s="1"/>
      <c r="E530" s="2"/>
      <c r="F530" s="2"/>
    </row>
    <row r="531">
      <c r="C531" s="1"/>
      <c r="E531" s="2"/>
      <c r="F531" s="2"/>
    </row>
    <row r="532">
      <c r="C532" s="1"/>
      <c r="E532" s="2"/>
      <c r="F532" s="2"/>
    </row>
    <row r="533">
      <c r="C533" s="1"/>
      <c r="E533" s="2"/>
      <c r="F533" s="2"/>
    </row>
    <row r="534">
      <c r="C534" s="1"/>
      <c r="E534" s="2"/>
      <c r="F534" s="2"/>
    </row>
    <row r="535">
      <c r="C535" s="1"/>
      <c r="E535" s="2"/>
      <c r="F535" s="2"/>
    </row>
    <row r="536">
      <c r="C536" s="1"/>
      <c r="E536" s="2"/>
      <c r="F536" s="2"/>
    </row>
    <row r="537">
      <c r="C537" s="1"/>
      <c r="E537" s="2"/>
      <c r="F537" s="2"/>
    </row>
    <row r="538">
      <c r="C538" s="1"/>
      <c r="E538" s="2"/>
      <c r="F538" s="2"/>
    </row>
    <row r="539">
      <c r="C539" s="1"/>
      <c r="E539" s="2"/>
      <c r="F539" s="2"/>
    </row>
    <row r="540">
      <c r="C540" s="1"/>
      <c r="E540" s="2"/>
      <c r="F540" s="2"/>
    </row>
    <row r="541">
      <c r="C541" s="1"/>
      <c r="E541" s="2"/>
      <c r="F541" s="2"/>
    </row>
    <row r="542">
      <c r="C542" s="1"/>
      <c r="E542" s="2"/>
      <c r="F542" s="2"/>
    </row>
    <row r="543">
      <c r="C543" s="1"/>
      <c r="E543" s="2"/>
      <c r="F543" s="2"/>
    </row>
    <row r="544">
      <c r="C544" s="1"/>
      <c r="E544" s="2"/>
      <c r="F544" s="2"/>
    </row>
    <row r="545">
      <c r="C545" s="1"/>
      <c r="E545" s="2"/>
      <c r="F545" s="2"/>
    </row>
    <row r="546">
      <c r="C546" s="1"/>
      <c r="E546" s="2"/>
      <c r="F546" s="2"/>
    </row>
    <row r="547">
      <c r="C547" s="1"/>
      <c r="E547" s="2"/>
      <c r="F547" s="2"/>
    </row>
    <row r="548">
      <c r="C548" s="1"/>
      <c r="E548" s="2"/>
      <c r="F548" s="2"/>
    </row>
    <row r="549">
      <c r="C549" s="1"/>
      <c r="E549" s="2"/>
      <c r="F549" s="2"/>
    </row>
    <row r="550">
      <c r="C550" s="1"/>
      <c r="E550" s="2"/>
      <c r="F550" s="2"/>
    </row>
    <row r="551">
      <c r="C551" s="1"/>
      <c r="E551" s="2"/>
      <c r="F551" s="2"/>
    </row>
    <row r="552">
      <c r="C552" s="1"/>
      <c r="E552" s="2"/>
      <c r="F552" s="2"/>
    </row>
    <row r="553">
      <c r="C553" s="1"/>
      <c r="E553" s="2"/>
      <c r="F553" s="2"/>
    </row>
    <row r="554">
      <c r="C554" s="1"/>
      <c r="E554" s="2"/>
      <c r="F554" s="2"/>
    </row>
    <row r="555">
      <c r="C555" s="1"/>
      <c r="E555" s="2"/>
      <c r="F555" s="2"/>
    </row>
    <row r="556">
      <c r="C556" s="1"/>
      <c r="E556" s="2"/>
      <c r="F556" s="2"/>
    </row>
    <row r="557">
      <c r="C557" s="1"/>
      <c r="E557" s="2"/>
      <c r="F557" s="2"/>
    </row>
    <row r="558">
      <c r="C558" s="1"/>
      <c r="E558" s="2"/>
      <c r="F558" s="2"/>
    </row>
    <row r="559">
      <c r="C559" s="1"/>
      <c r="E559" s="2"/>
      <c r="F559" s="2"/>
    </row>
    <row r="560">
      <c r="C560" s="1"/>
      <c r="E560" s="2"/>
      <c r="F560" s="2"/>
    </row>
    <row r="561">
      <c r="C561" s="1"/>
      <c r="E561" s="2"/>
      <c r="F561" s="2"/>
    </row>
    <row r="562">
      <c r="C562" s="1"/>
      <c r="E562" s="2"/>
      <c r="F562" s="2"/>
    </row>
    <row r="563">
      <c r="C563" s="1"/>
      <c r="E563" s="2"/>
      <c r="F563" s="2"/>
    </row>
    <row r="564">
      <c r="C564" s="1"/>
      <c r="E564" s="2"/>
      <c r="F564" s="2"/>
    </row>
    <row r="565">
      <c r="C565" s="1"/>
      <c r="E565" s="2"/>
      <c r="F565" s="2"/>
    </row>
    <row r="566">
      <c r="C566" s="1"/>
      <c r="E566" s="2"/>
      <c r="F566" s="2"/>
    </row>
    <row r="567">
      <c r="C567" s="1"/>
      <c r="E567" s="2"/>
      <c r="F567" s="2"/>
    </row>
    <row r="568">
      <c r="C568" s="1"/>
      <c r="E568" s="2"/>
      <c r="F568" s="2"/>
    </row>
    <row r="569">
      <c r="C569" s="1"/>
      <c r="E569" s="2"/>
      <c r="F569" s="2"/>
    </row>
    <row r="570">
      <c r="C570" s="1"/>
      <c r="E570" s="2"/>
      <c r="F570" s="2"/>
    </row>
    <row r="571">
      <c r="C571" s="1"/>
      <c r="E571" s="2"/>
      <c r="F571" s="2"/>
    </row>
    <row r="572">
      <c r="C572" s="1"/>
      <c r="E572" s="2"/>
      <c r="F572" s="2"/>
    </row>
    <row r="573">
      <c r="C573" s="1"/>
      <c r="E573" s="2"/>
      <c r="F573" s="2"/>
    </row>
    <row r="574">
      <c r="C574" s="1"/>
      <c r="E574" s="2"/>
      <c r="F574" s="2"/>
    </row>
    <row r="575">
      <c r="C575" s="1"/>
      <c r="E575" s="2"/>
      <c r="F575" s="2"/>
    </row>
    <row r="576">
      <c r="C576" s="1"/>
      <c r="E576" s="2"/>
      <c r="F576" s="2"/>
    </row>
    <row r="577">
      <c r="C577" s="1"/>
      <c r="E577" s="2"/>
      <c r="F577" s="2"/>
    </row>
    <row r="578">
      <c r="C578" s="1"/>
      <c r="E578" s="2"/>
      <c r="F578" s="2"/>
    </row>
    <row r="579">
      <c r="C579" s="1"/>
      <c r="E579" s="2"/>
      <c r="F579" s="2"/>
    </row>
    <row r="580">
      <c r="C580" s="1"/>
      <c r="E580" s="2"/>
      <c r="F580" s="2"/>
    </row>
    <row r="581">
      <c r="C581" s="1"/>
      <c r="E581" s="2"/>
      <c r="F581" s="2"/>
    </row>
    <row r="582">
      <c r="C582" s="1"/>
      <c r="E582" s="2"/>
      <c r="F582" s="2"/>
    </row>
    <row r="583">
      <c r="C583" s="1"/>
      <c r="E583" s="2"/>
      <c r="F583" s="2"/>
    </row>
    <row r="584">
      <c r="C584" s="1"/>
      <c r="E584" s="2"/>
      <c r="F584" s="2"/>
    </row>
    <row r="585">
      <c r="C585" s="1"/>
      <c r="E585" s="2"/>
      <c r="F585" s="2"/>
    </row>
    <row r="586">
      <c r="C586" s="1"/>
      <c r="E586" s="2"/>
      <c r="F586" s="2"/>
    </row>
    <row r="587">
      <c r="C587" s="1"/>
      <c r="E587" s="2"/>
      <c r="F587" s="2"/>
    </row>
    <row r="588">
      <c r="C588" s="1"/>
      <c r="E588" s="2"/>
      <c r="F588" s="2"/>
    </row>
    <row r="589">
      <c r="C589" s="1"/>
      <c r="E589" s="2"/>
      <c r="F589" s="2"/>
    </row>
    <row r="590">
      <c r="C590" s="1"/>
      <c r="E590" s="2"/>
      <c r="F590" s="2"/>
    </row>
    <row r="591">
      <c r="C591" s="1"/>
      <c r="E591" s="2"/>
      <c r="F591" s="2"/>
    </row>
    <row r="592">
      <c r="C592" s="1"/>
      <c r="E592" s="2"/>
      <c r="F592" s="2"/>
    </row>
    <row r="593">
      <c r="C593" s="1"/>
      <c r="E593" s="2"/>
      <c r="F593" s="2"/>
    </row>
    <row r="594">
      <c r="C594" s="1"/>
      <c r="E594" s="2"/>
      <c r="F594" s="2"/>
    </row>
    <row r="595">
      <c r="C595" s="1"/>
      <c r="E595" s="2"/>
      <c r="F595" s="2"/>
    </row>
    <row r="596">
      <c r="C596" s="1"/>
      <c r="E596" s="2"/>
      <c r="F596" s="2"/>
    </row>
    <row r="597">
      <c r="C597" s="1"/>
      <c r="E597" s="2"/>
      <c r="F597" s="2"/>
    </row>
    <row r="598">
      <c r="C598" s="1"/>
      <c r="E598" s="2"/>
      <c r="F598" s="2"/>
    </row>
    <row r="599">
      <c r="C599" s="1"/>
      <c r="E599" s="2"/>
      <c r="F599" s="2"/>
    </row>
    <row r="600">
      <c r="C600" s="1"/>
      <c r="E600" s="2"/>
      <c r="F600" s="2"/>
    </row>
    <row r="601">
      <c r="C601" s="1"/>
      <c r="E601" s="2"/>
      <c r="F601" s="2"/>
    </row>
    <row r="602">
      <c r="C602" s="1"/>
      <c r="E602" s="2"/>
      <c r="F602" s="2"/>
    </row>
    <row r="603">
      <c r="C603" s="1"/>
      <c r="E603" s="2"/>
      <c r="F603" s="2"/>
    </row>
    <row r="604">
      <c r="C604" s="1"/>
      <c r="E604" s="2"/>
      <c r="F604" s="2"/>
    </row>
    <row r="605">
      <c r="C605" s="1"/>
      <c r="E605" s="2"/>
      <c r="F605" s="2"/>
    </row>
    <row r="606">
      <c r="C606" s="1"/>
      <c r="E606" s="2"/>
      <c r="F606" s="2"/>
    </row>
    <row r="607">
      <c r="C607" s="1"/>
      <c r="E607" s="2"/>
      <c r="F607" s="2"/>
    </row>
    <row r="608">
      <c r="C608" s="1"/>
      <c r="E608" s="2"/>
      <c r="F608" s="2"/>
    </row>
    <row r="609">
      <c r="C609" s="1"/>
      <c r="E609" s="2"/>
      <c r="F609" s="2"/>
    </row>
    <row r="610">
      <c r="C610" s="1"/>
      <c r="E610" s="2"/>
      <c r="F610" s="2"/>
    </row>
    <row r="611">
      <c r="C611" s="1"/>
      <c r="E611" s="2"/>
      <c r="F611" s="2"/>
    </row>
    <row r="612">
      <c r="C612" s="1"/>
      <c r="E612" s="2"/>
      <c r="F612" s="2"/>
    </row>
    <row r="613">
      <c r="C613" s="1"/>
      <c r="E613" s="2"/>
      <c r="F613" s="2"/>
    </row>
    <row r="614">
      <c r="C614" s="1"/>
      <c r="E614" s="2"/>
      <c r="F614" s="2"/>
    </row>
    <row r="615">
      <c r="C615" s="1"/>
      <c r="E615" s="2"/>
      <c r="F615" s="2"/>
    </row>
    <row r="616">
      <c r="C616" s="1"/>
      <c r="E616" s="2"/>
      <c r="F616" s="2"/>
    </row>
    <row r="617">
      <c r="C617" s="1"/>
      <c r="E617" s="2"/>
      <c r="F617" s="2"/>
    </row>
    <row r="618">
      <c r="C618" s="1"/>
      <c r="E618" s="2"/>
      <c r="F618" s="2"/>
    </row>
    <row r="619">
      <c r="C619" s="1"/>
      <c r="E619" s="2"/>
      <c r="F619" s="2"/>
    </row>
    <row r="620">
      <c r="C620" s="1"/>
      <c r="E620" s="2"/>
      <c r="F620" s="2"/>
    </row>
    <row r="621">
      <c r="C621" s="1"/>
      <c r="E621" s="2"/>
      <c r="F621" s="2"/>
    </row>
    <row r="622">
      <c r="C622" s="1"/>
      <c r="E622" s="2"/>
      <c r="F622" s="2"/>
    </row>
    <row r="623">
      <c r="C623" s="1"/>
      <c r="E623" s="2"/>
      <c r="F623" s="2"/>
    </row>
    <row r="624">
      <c r="C624" s="1"/>
      <c r="E624" s="2"/>
      <c r="F624" s="2"/>
    </row>
    <row r="625">
      <c r="C625" s="1"/>
      <c r="E625" s="2"/>
      <c r="F625" s="2"/>
    </row>
    <row r="626">
      <c r="C626" s="1"/>
      <c r="E626" s="2"/>
      <c r="F626" s="2"/>
    </row>
    <row r="627">
      <c r="C627" s="1"/>
      <c r="E627" s="2"/>
      <c r="F627" s="2"/>
    </row>
    <row r="628">
      <c r="C628" s="1"/>
      <c r="E628" s="2"/>
      <c r="F628" s="2"/>
    </row>
    <row r="629">
      <c r="C629" s="1"/>
      <c r="E629" s="2"/>
      <c r="F629" s="2"/>
    </row>
    <row r="630">
      <c r="C630" s="1"/>
      <c r="E630" s="2"/>
      <c r="F630" s="2"/>
    </row>
    <row r="631">
      <c r="C631" s="1"/>
      <c r="E631" s="2"/>
      <c r="F631" s="2"/>
    </row>
    <row r="632">
      <c r="C632" s="1"/>
      <c r="E632" s="2"/>
      <c r="F632" s="2"/>
    </row>
    <row r="633">
      <c r="C633" s="1"/>
      <c r="E633" s="2"/>
      <c r="F633" s="2"/>
    </row>
    <row r="634">
      <c r="C634" s="1"/>
      <c r="E634" s="2"/>
      <c r="F634" s="2"/>
    </row>
    <row r="635">
      <c r="C635" s="1"/>
      <c r="E635" s="2"/>
      <c r="F635" s="2"/>
    </row>
    <row r="636">
      <c r="C636" s="1"/>
      <c r="E636" s="2"/>
      <c r="F636" s="2"/>
    </row>
    <row r="637">
      <c r="C637" s="1"/>
      <c r="E637" s="2"/>
      <c r="F637" s="2"/>
    </row>
    <row r="638">
      <c r="C638" s="1"/>
      <c r="E638" s="2"/>
      <c r="F638" s="2"/>
    </row>
    <row r="639">
      <c r="C639" s="1"/>
      <c r="E639" s="2"/>
      <c r="F639" s="2"/>
    </row>
    <row r="640">
      <c r="C640" s="1"/>
      <c r="E640" s="2"/>
      <c r="F640" s="2"/>
    </row>
    <row r="641">
      <c r="C641" s="1"/>
      <c r="E641" s="2"/>
      <c r="F641" s="2"/>
    </row>
    <row r="642">
      <c r="C642" s="1"/>
      <c r="E642" s="2"/>
      <c r="F642" s="2"/>
    </row>
    <row r="643">
      <c r="C643" s="1"/>
      <c r="E643" s="2"/>
      <c r="F643" s="2"/>
    </row>
    <row r="644">
      <c r="C644" s="1"/>
      <c r="E644" s="2"/>
      <c r="F644" s="2"/>
    </row>
    <row r="645">
      <c r="C645" s="1"/>
      <c r="E645" s="2"/>
      <c r="F645" s="2"/>
    </row>
    <row r="646">
      <c r="C646" s="1"/>
      <c r="E646" s="2"/>
      <c r="F646" s="2"/>
    </row>
    <row r="647">
      <c r="C647" s="1"/>
      <c r="E647" s="2"/>
      <c r="F647" s="2"/>
    </row>
    <row r="648">
      <c r="C648" s="1"/>
      <c r="E648" s="2"/>
      <c r="F648" s="2"/>
    </row>
    <row r="649">
      <c r="C649" s="1"/>
      <c r="E649" s="2"/>
      <c r="F649" s="2"/>
    </row>
    <row r="650">
      <c r="C650" s="1"/>
      <c r="E650" s="2"/>
      <c r="F650" s="2"/>
    </row>
    <row r="651">
      <c r="C651" s="1"/>
      <c r="E651" s="2"/>
      <c r="F651" s="2"/>
    </row>
    <row r="652">
      <c r="C652" s="1"/>
      <c r="E652" s="2"/>
      <c r="F652" s="2"/>
    </row>
    <row r="653">
      <c r="C653" s="1"/>
      <c r="E653" s="2"/>
      <c r="F653" s="2"/>
    </row>
    <row r="654">
      <c r="C654" s="1"/>
      <c r="E654" s="2"/>
      <c r="F654" s="2"/>
    </row>
    <row r="655">
      <c r="C655" s="1"/>
      <c r="E655" s="2"/>
      <c r="F655" s="2"/>
    </row>
    <row r="656">
      <c r="C656" s="1"/>
      <c r="E656" s="2"/>
      <c r="F656" s="2"/>
    </row>
    <row r="657">
      <c r="C657" s="1"/>
      <c r="E657" s="2"/>
      <c r="F657" s="2"/>
    </row>
    <row r="658">
      <c r="C658" s="1"/>
      <c r="E658" s="2"/>
      <c r="F658" s="2"/>
    </row>
    <row r="659">
      <c r="C659" s="1"/>
      <c r="E659" s="2"/>
      <c r="F659" s="2"/>
    </row>
    <row r="660">
      <c r="C660" s="1"/>
      <c r="E660" s="2"/>
      <c r="F660" s="2"/>
    </row>
    <row r="661">
      <c r="C661" s="1"/>
      <c r="E661" s="2"/>
      <c r="F661" s="2"/>
    </row>
    <row r="662">
      <c r="C662" s="1"/>
      <c r="E662" s="2"/>
      <c r="F662" s="2"/>
    </row>
    <row r="663">
      <c r="C663" s="1"/>
      <c r="E663" s="2"/>
      <c r="F663" s="2"/>
    </row>
    <row r="664">
      <c r="C664" s="1"/>
      <c r="E664" s="2"/>
      <c r="F664" s="2"/>
    </row>
    <row r="665">
      <c r="C665" s="1"/>
      <c r="E665" s="2"/>
      <c r="F665" s="2"/>
    </row>
    <row r="666">
      <c r="C666" s="1"/>
      <c r="E666" s="2"/>
      <c r="F666" s="2"/>
    </row>
    <row r="667">
      <c r="C667" s="1"/>
      <c r="E667" s="2"/>
      <c r="F667" s="2"/>
    </row>
    <row r="668">
      <c r="C668" s="1"/>
      <c r="E668" s="2"/>
      <c r="F668" s="2"/>
    </row>
    <row r="669">
      <c r="C669" s="1"/>
      <c r="E669" s="2"/>
      <c r="F669" s="2"/>
    </row>
    <row r="670">
      <c r="C670" s="1"/>
      <c r="E670" s="2"/>
      <c r="F670" s="2"/>
    </row>
    <row r="671">
      <c r="C671" s="1"/>
      <c r="E671" s="2"/>
      <c r="F671" s="2"/>
    </row>
    <row r="672">
      <c r="C672" s="1"/>
      <c r="E672" s="2"/>
      <c r="F672" s="2"/>
    </row>
    <row r="673">
      <c r="C673" s="1"/>
      <c r="E673" s="2"/>
      <c r="F673" s="2"/>
    </row>
    <row r="674">
      <c r="C674" s="1"/>
      <c r="E674" s="2"/>
      <c r="F674" s="2"/>
    </row>
    <row r="675">
      <c r="C675" s="1"/>
      <c r="E675" s="2"/>
      <c r="F675" s="2"/>
    </row>
    <row r="676">
      <c r="C676" s="1"/>
      <c r="E676" s="2"/>
      <c r="F676" s="2"/>
    </row>
    <row r="677">
      <c r="C677" s="1"/>
      <c r="E677" s="2"/>
      <c r="F677" s="2"/>
    </row>
    <row r="678">
      <c r="C678" s="1"/>
      <c r="E678" s="2"/>
      <c r="F678" s="2"/>
    </row>
    <row r="679">
      <c r="C679" s="1"/>
      <c r="E679" s="2"/>
      <c r="F679" s="2"/>
    </row>
    <row r="680">
      <c r="C680" s="1"/>
      <c r="E680" s="2"/>
      <c r="F680" s="2"/>
    </row>
    <row r="681">
      <c r="C681" s="1"/>
      <c r="E681" s="2"/>
      <c r="F681" s="2"/>
    </row>
    <row r="682">
      <c r="C682" s="1"/>
      <c r="E682" s="2"/>
      <c r="F682" s="2"/>
    </row>
    <row r="683">
      <c r="C683" s="1"/>
      <c r="E683" s="2"/>
      <c r="F683" s="2"/>
    </row>
    <row r="684">
      <c r="C684" s="1"/>
      <c r="E684" s="2"/>
      <c r="F684" s="2"/>
    </row>
    <row r="685">
      <c r="C685" s="1"/>
      <c r="E685" s="2"/>
      <c r="F685" s="2"/>
    </row>
    <row r="686">
      <c r="C686" s="1"/>
      <c r="E686" s="2"/>
      <c r="F686" s="2"/>
    </row>
    <row r="687">
      <c r="C687" s="1"/>
      <c r="E687" s="2"/>
      <c r="F687" s="2"/>
    </row>
    <row r="688">
      <c r="C688" s="1"/>
      <c r="E688" s="2"/>
      <c r="F688" s="2"/>
    </row>
    <row r="689">
      <c r="C689" s="1"/>
      <c r="E689" s="2"/>
      <c r="F689" s="2"/>
    </row>
    <row r="690">
      <c r="C690" s="1"/>
      <c r="E690" s="2"/>
      <c r="F690" s="2"/>
    </row>
    <row r="691">
      <c r="C691" s="1"/>
      <c r="E691" s="2"/>
      <c r="F691" s="2"/>
    </row>
    <row r="692">
      <c r="C692" s="1"/>
      <c r="E692" s="2"/>
      <c r="F692" s="2"/>
    </row>
    <row r="693">
      <c r="C693" s="1"/>
      <c r="E693" s="2"/>
      <c r="F693" s="2"/>
    </row>
    <row r="694">
      <c r="C694" s="1"/>
      <c r="E694" s="2"/>
      <c r="F694" s="2"/>
    </row>
    <row r="695">
      <c r="C695" s="1"/>
      <c r="E695" s="2"/>
      <c r="F695" s="2"/>
    </row>
    <row r="696">
      <c r="C696" s="1"/>
      <c r="E696" s="2"/>
      <c r="F696" s="2"/>
    </row>
    <row r="697">
      <c r="C697" s="1"/>
      <c r="E697" s="2"/>
      <c r="F697" s="2"/>
    </row>
    <row r="698">
      <c r="C698" s="1"/>
      <c r="E698" s="2"/>
      <c r="F698" s="2"/>
    </row>
    <row r="699">
      <c r="C699" s="1"/>
      <c r="E699" s="2"/>
      <c r="F699" s="2"/>
    </row>
    <row r="700">
      <c r="C700" s="1"/>
      <c r="E700" s="2"/>
      <c r="F700" s="2"/>
    </row>
    <row r="701">
      <c r="C701" s="1"/>
      <c r="E701" s="2"/>
      <c r="F701" s="2"/>
    </row>
    <row r="702">
      <c r="C702" s="1"/>
      <c r="E702" s="2"/>
      <c r="F702" s="2"/>
    </row>
    <row r="703">
      <c r="C703" s="1"/>
      <c r="E703" s="2"/>
      <c r="F703" s="2"/>
    </row>
    <row r="704">
      <c r="C704" s="1"/>
      <c r="E704" s="2"/>
      <c r="F704" s="2"/>
    </row>
    <row r="705">
      <c r="C705" s="1"/>
      <c r="E705" s="2"/>
      <c r="F705" s="2"/>
    </row>
    <row r="706">
      <c r="C706" s="1"/>
      <c r="E706" s="2"/>
      <c r="F706" s="2"/>
    </row>
    <row r="707">
      <c r="C707" s="1"/>
      <c r="E707" s="2"/>
      <c r="F707" s="2"/>
    </row>
    <row r="708">
      <c r="C708" s="1"/>
      <c r="E708" s="2"/>
      <c r="F708" s="2"/>
    </row>
    <row r="709">
      <c r="C709" s="1"/>
      <c r="E709" s="2"/>
      <c r="F709" s="2"/>
    </row>
    <row r="710">
      <c r="C710" s="1"/>
      <c r="E710" s="2"/>
      <c r="F710" s="2"/>
    </row>
    <row r="711">
      <c r="C711" s="1"/>
      <c r="E711" s="2"/>
      <c r="F711" s="2"/>
    </row>
    <row r="712">
      <c r="C712" s="1"/>
      <c r="E712" s="2"/>
      <c r="F712" s="2"/>
    </row>
    <row r="713">
      <c r="C713" s="1"/>
      <c r="E713" s="2"/>
      <c r="F713" s="2"/>
    </row>
    <row r="714">
      <c r="C714" s="1"/>
      <c r="E714" s="2"/>
      <c r="F714" s="2"/>
    </row>
    <row r="715">
      <c r="C715" s="1"/>
      <c r="E715" s="2"/>
      <c r="F715" s="2"/>
    </row>
    <row r="716">
      <c r="C716" s="1"/>
      <c r="E716" s="2"/>
      <c r="F716" s="2"/>
    </row>
    <row r="717">
      <c r="C717" s="1"/>
      <c r="E717" s="2"/>
      <c r="F717" s="2"/>
    </row>
    <row r="718">
      <c r="C718" s="1"/>
      <c r="E718" s="2"/>
      <c r="F718" s="2"/>
    </row>
    <row r="719">
      <c r="C719" s="1"/>
      <c r="E719" s="2"/>
      <c r="F719" s="2"/>
    </row>
    <row r="720">
      <c r="C720" s="1"/>
      <c r="E720" s="2"/>
      <c r="F720" s="2"/>
    </row>
    <row r="721">
      <c r="C721" s="1"/>
      <c r="E721" s="2"/>
      <c r="F721" s="2"/>
    </row>
    <row r="722">
      <c r="C722" s="1"/>
      <c r="E722" s="2"/>
      <c r="F722" s="2"/>
    </row>
    <row r="723">
      <c r="C723" s="1"/>
      <c r="E723" s="2"/>
      <c r="F723" s="2"/>
    </row>
    <row r="724">
      <c r="C724" s="1"/>
      <c r="E724" s="2"/>
      <c r="F724" s="2"/>
    </row>
    <row r="725">
      <c r="C725" s="1"/>
      <c r="E725" s="2"/>
      <c r="F725" s="2"/>
    </row>
    <row r="726">
      <c r="C726" s="1"/>
      <c r="E726" s="2"/>
      <c r="F726" s="2"/>
    </row>
    <row r="727">
      <c r="C727" s="1"/>
      <c r="E727" s="2"/>
      <c r="F727" s="2"/>
    </row>
    <row r="728">
      <c r="C728" s="1"/>
      <c r="E728" s="2"/>
      <c r="F728" s="2"/>
    </row>
    <row r="729">
      <c r="C729" s="1"/>
      <c r="E729" s="2"/>
      <c r="F729" s="2"/>
    </row>
    <row r="730">
      <c r="C730" s="1"/>
      <c r="E730" s="2"/>
      <c r="F730" s="2"/>
    </row>
    <row r="731">
      <c r="C731" s="1"/>
      <c r="E731" s="2"/>
      <c r="F731" s="2"/>
    </row>
    <row r="732">
      <c r="C732" s="1"/>
      <c r="E732" s="2"/>
      <c r="F732" s="2"/>
    </row>
    <row r="733">
      <c r="C733" s="1"/>
      <c r="E733" s="2"/>
      <c r="F733" s="2"/>
    </row>
    <row r="734">
      <c r="C734" s="1"/>
      <c r="E734" s="2"/>
      <c r="F734" s="2"/>
    </row>
    <row r="735">
      <c r="C735" s="1"/>
      <c r="E735" s="2"/>
      <c r="F735" s="2"/>
    </row>
    <row r="736">
      <c r="C736" s="1"/>
      <c r="E736" s="2"/>
      <c r="F736" s="2"/>
    </row>
    <row r="737">
      <c r="C737" s="1"/>
      <c r="E737" s="2"/>
      <c r="F737" s="2"/>
    </row>
    <row r="738">
      <c r="C738" s="1"/>
      <c r="E738" s="2"/>
      <c r="F738" s="2"/>
    </row>
    <row r="739">
      <c r="C739" s="1"/>
      <c r="E739" s="2"/>
      <c r="F739" s="2"/>
    </row>
    <row r="740">
      <c r="C740" s="1"/>
      <c r="E740" s="2"/>
      <c r="F740" s="2"/>
    </row>
    <row r="741">
      <c r="C741" s="1"/>
      <c r="E741" s="2"/>
      <c r="F741" s="2"/>
    </row>
    <row r="742">
      <c r="C742" s="1"/>
      <c r="E742" s="2"/>
      <c r="F742" s="2"/>
    </row>
    <row r="743">
      <c r="C743" s="1"/>
      <c r="E743" s="2"/>
      <c r="F743" s="2"/>
    </row>
    <row r="744">
      <c r="C744" s="1"/>
      <c r="E744" s="2"/>
      <c r="F744" s="2"/>
    </row>
    <row r="745">
      <c r="C745" s="1"/>
      <c r="E745" s="2"/>
      <c r="F745" s="2"/>
    </row>
    <row r="746">
      <c r="C746" s="1"/>
      <c r="E746" s="2"/>
      <c r="F746" s="2"/>
    </row>
    <row r="747">
      <c r="C747" s="1"/>
      <c r="E747" s="2"/>
      <c r="F747" s="2"/>
    </row>
    <row r="748">
      <c r="C748" s="1"/>
      <c r="E748" s="2"/>
      <c r="F748" s="2"/>
    </row>
    <row r="749">
      <c r="C749" s="1"/>
      <c r="E749" s="2"/>
      <c r="F749" s="2"/>
    </row>
    <row r="750">
      <c r="C750" s="1"/>
      <c r="E750" s="2"/>
      <c r="F750" s="2"/>
    </row>
    <row r="751">
      <c r="C751" s="1"/>
      <c r="E751" s="2"/>
      <c r="F751" s="2"/>
    </row>
    <row r="752">
      <c r="C752" s="1"/>
      <c r="E752" s="2"/>
      <c r="F752" s="2"/>
    </row>
    <row r="753">
      <c r="C753" s="1"/>
      <c r="E753" s="2"/>
      <c r="F753" s="2"/>
    </row>
    <row r="754">
      <c r="C754" s="1"/>
      <c r="E754" s="2"/>
      <c r="F754" s="2"/>
    </row>
    <row r="755">
      <c r="C755" s="1"/>
      <c r="E755" s="2"/>
      <c r="F755" s="2"/>
    </row>
    <row r="756">
      <c r="C756" s="1"/>
      <c r="E756" s="2"/>
      <c r="F756" s="2"/>
    </row>
    <row r="757">
      <c r="C757" s="1"/>
      <c r="E757" s="2"/>
      <c r="F757" s="2"/>
    </row>
    <row r="758">
      <c r="C758" s="1"/>
      <c r="E758" s="2"/>
      <c r="F758" s="2"/>
    </row>
    <row r="759">
      <c r="C759" s="1"/>
      <c r="E759" s="2"/>
      <c r="F759" s="2"/>
    </row>
    <row r="760">
      <c r="C760" s="1"/>
      <c r="E760" s="2"/>
      <c r="F760" s="2"/>
    </row>
    <row r="761">
      <c r="C761" s="1"/>
      <c r="E761" s="2"/>
      <c r="F761" s="2"/>
    </row>
    <row r="762">
      <c r="C762" s="1"/>
      <c r="E762" s="2"/>
      <c r="F762" s="2"/>
    </row>
    <row r="763">
      <c r="C763" s="1"/>
      <c r="E763" s="2"/>
      <c r="F763" s="2"/>
    </row>
    <row r="764">
      <c r="C764" s="1"/>
      <c r="E764" s="2"/>
      <c r="F764" s="2"/>
    </row>
    <row r="765">
      <c r="C765" s="1"/>
      <c r="E765" s="2"/>
      <c r="F765" s="2"/>
    </row>
    <row r="766">
      <c r="C766" s="1"/>
      <c r="E766" s="2"/>
      <c r="F766" s="2"/>
    </row>
    <row r="767">
      <c r="C767" s="1"/>
      <c r="E767" s="2"/>
      <c r="F767" s="2"/>
    </row>
    <row r="768">
      <c r="C768" s="1"/>
      <c r="E768" s="2"/>
      <c r="F768" s="2"/>
    </row>
    <row r="769">
      <c r="C769" s="1"/>
      <c r="E769" s="2"/>
      <c r="F769" s="2"/>
    </row>
    <row r="770">
      <c r="C770" s="1"/>
      <c r="E770" s="2"/>
      <c r="F770" s="2"/>
    </row>
    <row r="771">
      <c r="C771" s="1"/>
      <c r="E771" s="2"/>
      <c r="F771" s="2"/>
    </row>
    <row r="772">
      <c r="C772" s="1"/>
      <c r="E772" s="2"/>
      <c r="F772" s="2"/>
    </row>
    <row r="773">
      <c r="C773" s="1"/>
      <c r="E773" s="2"/>
      <c r="F773" s="2"/>
    </row>
    <row r="774">
      <c r="C774" s="1"/>
      <c r="E774" s="2"/>
      <c r="F774" s="2"/>
    </row>
    <row r="775">
      <c r="C775" s="1"/>
      <c r="E775" s="2"/>
      <c r="F775" s="2"/>
    </row>
    <row r="776">
      <c r="C776" s="1"/>
      <c r="E776" s="2"/>
      <c r="F776" s="2"/>
    </row>
    <row r="777">
      <c r="C777" s="1"/>
      <c r="E777" s="2"/>
      <c r="F777" s="2"/>
    </row>
    <row r="778">
      <c r="C778" s="1"/>
      <c r="E778" s="2"/>
      <c r="F778" s="2"/>
    </row>
    <row r="779">
      <c r="C779" s="1"/>
      <c r="E779" s="2"/>
      <c r="F779" s="2"/>
    </row>
    <row r="780">
      <c r="C780" s="1"/>
      <c r="E780" s="2"/>
      <c r="F780" s="2"/>
    </row>
    <row r="781">
      <c r="C781" s="1"/>
      <c r="E781" s="2"/>
      <c r="F781" s="2"/>
    </row>
    <row r="782">
      <c r="C782" s="1"/>
      <c r="E782" s="2"/>
      <c r="F782" s="2"/>
    </row>
    <row r="783">
      <c r="C783" s="1"/>
      <c r="E783" s="2"/>
      <c r="F783" s="2"/>
    </row>
    <row r="784">
      <c r="C784" s="1"/>
      <c r="E784" s="2"/>
      <c r="F784" s="2"/>
    </row>
    <row r="785">
      <c r="C785" s="1"/>
      <c r="E785" s="2"/>
      <c r="F785" s="2"/>
    </row>
    <row r="786">
      <c r="C786" s="1"/>
      <c r="E786" s="2"/>
      <c r="F786" s="2"/>
    </row>
    <row r="787">
      <c r="C787" s="1"/>
      <c r="E787" s="2"/>
      <c r="F787" s="2"/>
    </row>
    <row r="788">
      <c r="C788" s="1"/>
      <c r="E788" s="2"/>
      <c r="F788" s="2"/>
    </row>
    <row r="789">
      <c r="C789" s="1"/>
      <c r="E789" s="2"/>
      <c r="F789" s="2"/>
    </row>
    <row r="790">
      <c r="C790" s="1"/>
      <c r="E790" s="2"/>
      <c r="F790" s="2"/>
    </row>
    <row r="791">
      <c r="C791" s="1"/>
      <c r="E791" s="2"/>
      <c r="F791" s="2"/>
    </row>
    <row r="792">
      <c r="C792" s="1"/>
      <c r="E792" s="2"/>
      <c r="F792" s="2"/>
    </row>
    <row r="793">
      <c r="C793" s="1"/>
      <c r="E793" s="2"/>
      <c r="F793" s="2"/>
    </row>
    <row r="794">
      <c r="C794" s="1"/>
      <c r="E794" s="2"/>
      <c r="F794" s="2"/>
    </row>
    <row r="795">
      <c r="C795" s="1"/>
      <c r="E795" s="2"/>
      <c r="F795" s="2"/>
    </row>
    <row r="796">
      <c r="C796" s="1"/>
      <c r="E796" s="2"/>
      <c r="F796" s="2"/>
    </row>
    <row r="797">
      <c r="C797" s="1"/>
      <c r="E797" s="2"/>
      <c r="F797" s="2"/>
    </row>
    <row r="798">
      <c r="C798" s="1"/>
      <c r="E798" s="2"/>
      <c r="F798" s="2"/>
    </row>
    <row r="799">
      <c r="C799" s="1"/>
      <c r="E799" s="2"/>
      <c r="F799" s="2"/>
    </row>
    <row r="800">
      <c r="C800" s="1"/>
      <c r="E800" s="2"/>
      <c r="F800" s="2"/>
    </row>
    <row r="801">
      <c r="C801" s="1"/>
      <c r="E801" s="2"/>
      <c r="F801" s="2"/>
    </row>
    <row r="802">
      <c r="C802" s="1"/>
      <c r="E802" s="2"/>
      <c r="F802" s="2"/>
    </row>
    <row r="803">
      <c r="C803" s="1"/>
      <c r="E803" s="2"/>
      <c r="F803" s="2"/>
    </row>
    <row r="804">
      <c r="C804" s="1"/>
      <c r="E804" s="2"/>
      <c r="F804" s="2"/>
    </row>
    <row r="805">
      <c r="C805" s="1"/>
      <c r="E805" s="2"/>
      <c r="F805" s="2"/>
    </row>
    <row r="806">
      <c r="C806" s="1"/>
      <c r="E806" s="2"/>
      <c r="F806" s="2"/>
    </row>
    <row r="807">
      <c r="C807" s="1"/>
      <c r="E807" s="2"/>
      <c r="F807" s="2"/>
    </row>
    <row r="808">
      <c r="C808" s="1"/>
      <c r="E808" s="2"/>
      <c r="F808" s="2"/>
    </row>
    <row r="809">
      <c r="C809" s="1"/>
      <c r="E809" s="2"/>
      <c r="F809" s="2"/>
    </row>
    <row r="810">
      <c r="C810" s="1"/>
      <c r="E810" s="2"/>
      <c r="F810" s="2"/>
    </row>
    <row r="811">
      <c r="C811" s="1"/>
      <c r="E811" s="2"/>
      <c r="F811" s="2"/>
    </row>
    <row r="812">
      <c r="C812" s="1"/>
      <c r="E812" s="2"/>
      <c r="F812" s="2"/>
    </row>
    <row r="813">
      <c r="C813" s="1"/>
      <c r="E813" s="2"/>
      <c r="F813" s="2"/>
    </row>
    <row r="814">
      <c r="C814" s="1"/>
      <c r="E814" s="2"/>
      <c r="F814" s="2"/>
    </row>
    <row r="815">
      <c r="C815" s="1"/>
      <c r="E815" s="2"/>
      <c r="F815" s="2"/>
    </row>
    <row r="816">
      <c r="C816" s="1"/>
      <c r="E816" s="2"/>
      <c r="F816" s="2"/>
    </row>
    <row r="817">
      <c r="C817" s="1"/>
      <c r="E817" s="2"/>
      <c r="F817" s="2"/>
    </row>
    <row r="818">
      <c r="C818" s="1"/>
      <c r="E818" s="2"/>
      <c r="F818" s="2"/>
    </row>
    <row r="819">
      <c r="C819" s="1"/>
      <c r="E819" s="2"/>
      <c r="F819" s="2"/>
    </row>
    <row r="820">
      <c r="C820" s="1"/>
      <c r="E820" s="2"/>
      <c r="F820" s="2"/>
    </row>
    <row r="821">
      <c r="C821" s="1"/>
      <c r="E821" s="2"/>
      <c r="F821" s="2"/>
    </row>
    <row r="822">
      <c r="C822" s="1"/>
      <c r="E822" s="2"/>
      <c r="F822" s="2"/>
    </row>
    <row r="823">
      <c r="C823" s="1"/>
      <c r="E823" s="2"/>
      <c r="F823" s="2"/>
    </row>
    <row r="824">
      <c r="C824" s="1"/>
      <c r="E824" s="2"/>
      <c r="F824" s="2"/>
    </row>
    <row r="825">
      <c r="C825" s="1"/>
      <c r="E825" s="2"/>
      <c r="F825" s="2"/>
    </row>
    <row r="826">
      <c r="C826" s="1"/>
      <c r="E826" s="2"/>
      <c r="F826" s="2"/>
    </row>
    <row r="827">
      <c r="C827" s="1"/>
      <c r="E827" s="2"/>
      <c r="F827" s="2"/>
    </row>
    <row r="828">
      <c r="C828" s="1"/>
      <c r="E828" s="2"/>
      <c r="F828" s="2"/>
    </row>
    <row r="829">
      <c r="C829" s="1"/>
      <c r="E829" s="2"/>
      <c r="F829" s="2"/>
    </row>
    <row r="830">
      <c r="C830" s="1"/>
      <c r="E830" s="2"/>
      <c r="F830" s="2"/>
    </row>
    <row r="831">
      <c r="C831" s="1"/>
      <c r="E831" s="2"/>
      <c r="F831" s="2"/>
    </row>
    <row r="832">
      <c r="C832" s="1"/>
      <c r="E832" s="2"/>
      <c r="F832" s="2"/>
    </row>
    <row r="833">
      <c r="C833" s="1"/>
      <c r="E833" s="2"/>
      <c r="F833" s="2"/>
    </row>
    <row r="834">
      <c r="C834" s="1"/>
      <c r="E834" s="2"/>
      <c r="F834" s="2"/>
    </row>
    <row r="835">
      <c r="C835" s="1"/>
      <c r="E835" s="2"/>
      <c r="F835" s="2"/>
    </row>
    <row r="836">
      <c r="C836" s="1"/>
      <c r="E836" s="2"/>
      <c r="F836" s="2"/>
    </row>
    <row r="837">
      <c r="C837" s="1"/>
      <c r="E837" s="2"/>
      <c r="F837" s="2"/>
    </row>
    <row r="838">
      <c r="C838" s="1"/>
      <c r="E838" s="2"/>
      <c r="F838" s="2"/>
    </row>
    <row r="839">
      <c r="C839" s="1"/>
      <c r="E839" s="2"/>
      <c r="F839" s="2"/>
    </row>
    <row r="840">
      <c r="C840" s="1"/>
      <c r="E840" s="2"/>
      <c r="F840" s="2"/>
    </row>
    <row r="841">
      <c r="C841" s="1"/>
      <c r="E841" s="2"/>
      <c r="F841" s="2"/>
    </row>
    <row r="842">
      <c r="C842" s="1"/>
      <c r="E842" s="2"/>
      <c r="F842" s="2"/>
    </row>
    <row r="843">
      <c r="C843" s="1"/>
      <c r="E843" s="2"/>
      <c r="F843" s="2"/>
    </row>
    <row r="844">
      <c r="C844" s="1"/>
      <c r="E844" s="2"/>
      <c r="F844" s="2"/>
    </row>
    <row r="845">
      <c r="C845" s="1"/>
      <c r="E845" s="2"/>
      <c r="F845" s="2"/>
    </row>
    <row r="846">
      <c r="C846" s="1"/>
      <c r="E846" s="2"/>
      <c r="F846" s="2"/>
    </row>
    <row r="847">
      <c r="C847" s="1"/>
      <c r="E847" s="2"/>
      <c r="F847" s="2"/>
    </row>
    <row r="848">
      <c r="C848" s="1"/>
      <c r="E848" s="2"/>
      <c r="F848" s="2"/>
    </row>
    <row r="849">
      <c r="C849" s="1"/>
      <c r="E849" s="2"/>
      <c r="F849" s="2"/>
    </row>
    <row r="850">
      <c r="C850" s="1"/>
      <c r="E850" s="2"/>
      <c r="F850" s="2"/>
    </row>
    <row r="851">
      <c r="C851" s="1"/>
      <c r="E851" s="2"/>
      <c r="F851" s="2"/>
    </row>
    <row r="852">
      <c r="C852" s="1"/>
      <c r="E852" s="2"/>
      <c r="F852" s="2"/>
    </row>
    <row r="853">
      <c r="C853" s="1"/>
      <c r="E853" s="2"/>
      <c r="F853" s="2"/>
    </row>
    <row r="854">
      <c r="C854" s="1"/>
      <c r="E854" s="2"/>
      <c r="F854" s="2"/>
    </row>
    <row r="855">
      <c r="C855" s="1"/>
      <c r="E855" s="2"/>
      <c r="F855" s="2"/>
    </row>
    <row r="856">
      <c r="C856" s="1"/>
      <c r="E856" s="2"/>
      <c r="F856" s="2"/>
    </row>
    <row r="857">
      <c r="C857" s="1"/>
      <c r="E857" s="2"/>
      <c r="F857" s="2"/>
    </row>
    <row r="858">
      <c r="C858" s="1"/>
      <c r="E858" s="2"/>
      <c r="F858" s="2"/>
    </row>
    <row r="859">
      <c r="C859" s="1"/>
      <c r="E859" s="2"/>
      <c r="F859" s="2"/>
    </row>
    <row r="860">
      <c r="C860" s="1"/>
      <c r="E860" s="2"/>
      <c r="F860" s="2"/>
    </row>
    <row r="861">
      <c r="C861" s="1"/>
      <c r="E861" s="2"/>
      <c r="F861" s="2"/>
    </row>
    <row r="862">
      <c r="C862" s="1"/>
      <c r="E862" s="2"/>
      <c r="F862" s="2"/>
    </row>
    <row r="863">
      <c r="C863" s="1"/>
      <c r="E863" s="2"/>
      <c r="F863" s="2"/>
    </row>
    <row r="864">
      <c r="C864" s="1"/>
      <c r="E864" s="2"/>
      <c r="F864" s="2"/>
    </row>
    <row r="865">
      <c r="C865" s="1"/>
      <c r="E865" s="2"/>
      <c r="F865" s="2"/>
    </row>
    <row r="866">
      <c r="C866" s="1"/>
      <c r="E866" s="2"/>
      <c r="F866" s="2"/>
    </row>
    <row r="867">
      <c r="C867" s="1"/>
      <c r="E867" s="2"/>
      <c r="F867" s="2"/>
    </row>
    <row r="868">
      <c r="C868" s="1"/>
      <c r="E868" s="2"/>
      <c r="F868" s="2"/>
    </row>
    <row r="869">
      <c r="C869" s="1"/>
      <c r="E869" s="2"/>
      <c r="F869" s="2"/>
    </row>
    <row r="870">
      <c r="C870" s="1"/>
      <c r="E870" s="2"/>
      <c r="F870" s="2"/>
    </row>
    <row r="871">
      <c r="C871" s="1"/>
      <c r="E871" s="2"/>
      <c r="F871" s="2"/>
    </row>
    <row r="872">
      <c r="C872" s="1"/>
      <c r="E872" s="2"/>
      <c r="F872" s="2"/>
    </row>
    <row r="873">
      <c r="C873" s="1"/>
      <c r="E873" s="2"/>
      <c r="F873" s="2"/>
    </row>
    <row r="874">
      <c r="C874" s="1"/>
      <c r="E874" s="2"/>
      <c r="F874" s="2"/>
    </row>
    <row r="875">
      <c r="C875" s="1"/>
      <c r="E875" s="2"/>
      <c r="F875" s="2"/>
    </row>
    <row r="876">
      <c r="C876" s="1"/>
      <c r="E876" s="2"/>
      <c r="F876" s="2"/>
    </row>
    <row r="877">
      <c r="C877" s="1"/>
      <c r="E877" s="2"/>
      <c r="F877" s="2"/>
    </row>
    <row r="878">
      <c r="C878" s="1"/>
      <c r="E878" s="2"/>
      <c r="F878" s="2"/>
    </row>
    <row r="879">
      <c r="C879" s="1"/>
      <c r="E879" s="2"/>
      <c r="F879" s="2"/>
    </row>
    <row r="880">
      <c r="C880" s="1"/>
      <c r="E880" s="2"/>
      <c r="F880" s="2"/>
    </row>
    <row r="881">
      <c r="C881" s="1"/>
      <c r="E881" s="2"/>
      <c r="F881" s="2"/>
    </row>
    <row r="882">
      <c r="C882" s="1"/>
      <c r="E882" s="2"/>
      <c r="F882" s="2"/>
    </row>
    <row r="883">
      <c r="C883" s="1"/>
      <c r="E883" s="2"/>
      <c r="F883" s="2"/>
    </row>
    <row r="884">
      <c r="C884" s="1"/>
      <c r="E884" s="2"/>
      <c r="F884" s="2"/>
    </row>
    <row r="885">
      <c r="C885" s="1"/>
      <c r="E885" s="2"/>
      <c r="F885" s="2"/>
    </row>
    <row r="886">
      <c r="C886" s="1"/>
      <c r="E886" s="2"/>
      <c r="F886" s="2"/>
    </row>
    <row r="887">
      <c r="C887" s="1"/>
      <c r="E887" s="2"/>
      <c r="F887" s="2"/>
    </row>
    <row r="888">
      <c r="C888" s="1"/>
      <c r="E888" s="2"/>
      <c r="F888" s="2"/>
    </row>
    <row r="889">
      <c r="C889" s="1"/>
      <c r="E889" s="2"/>
      <c r="F889" s="2"/>
    </row>
    <row r="890">
      <c r="C890" s="1"/>
      <c r="E890" s="2"/>
      <c r="F890" s="2"/>
    </row>
    <row r="891">
      <c r="C891" s="1"/>
      <c r="E891" s="2"/>
      <c r="F891" s="2"/>
    </row>
    <row r="892">
      <c r="C892" s="1"/>
      <c r="E892" s="2"/>
      <c r="F892" s="2"/>
    </row>
    <row r="893">
      <c r="C893" s="1"/>
      <c r="E893" s="2"/>
      <c r="F893" s="2"/>
    </row>
    <row r="894">
      <c r="C894" s="1"/>
      <c r="E894" s="2"/>
      <c r="F894" s="2"/>
    </row>
    <row r="895">
      <c r="C895" s="1"/>
      <c r="E895" s="2"/>
      <c r="F895" s="2"/>
    </row>
    <row r="896">
      <c r="C896" s="1"/>
      <c r="E896" s="2"/>
      <c r="F896" s="2"/>
    </row>
    <row r="897">
      <c r="C897" s="1"/>
      <c r="E897" s="2"/>
      <c r="F897" s="2"/>
    </row>
    <row r="898">
      <c r="C898" s="1"/>
      <c r="E898" s="2"/>
      <c r="F898" s="2"/>
    </row>
    <row r="899">
      <c r="C899" s="1"/>
      <c r="E899" s="2"/>
      <c r="F899" s="2"/>
    </row>
    <row r="900">
      <c r="C900" s="1"/>
      <c r="E900" s="2"/>
      <c r="F900" s="2"/>
    </row>
    <row r="901">
      <c r="C901" s="1"/>
      <c r="E901" s="2"/>
      <c r="F901" s="2"/>
    </row>
    <row r="902">
      <c r="C902" s="1"/>
      <c r="E902" s="2"/>
      <c r="F902" s="2"/>
    </row>
    <row r="903">
      <c r="C903" s="1"/>
      <c r="E903" s="2"/>
      <c r="F903" s="2"/>
    </row>
    <row r="904">
      <c r="C904" s="1"/>
      <c r="E904" s="2"/>
      <c r="F904" s="2"/>
    </row>
    <row r="905">
      <c r="C905" s="1"/>
      <c r="E905" s="2"/>
      <c r="F905" s="2"/>
    </row>
    <row r="906">
      <c r="C906" s="1"/>
      <c r="E906" s="2"/>
      <c r="F906" s="2"/>
    </row>
    <row r="907">
      <c r="C907" s="1"/>
      <c r="E907" s="2"/>
      <c r="F907" s="2"/>
    </row>
    <row r="908">
      <c r="C908" s="1"/>
      <c r="E908" s="2"/>
      <c r="F908" s="2"/>
    </row>
    <row r="909">
      <c r="C909" s="1"/>
      <c r="E909" s="2"/>
      <c r="F909" s="2"/>
    </row>
    <row r="910">
      <c r="C910" s="1"/>
      <c r="E910" s="2"/>
      <c r="F910" s="2"/>
    </row>
    <row r="911">
      <c r="C911" s="1"/>
      <c r="E911" s="2"/>
      <c r="F911" s="2"/>
    </row>
    <row r="912">
      <c r="C912" s="1"/>
      <c r="E912" s="2"/>
      <c r="F912" s="2"/>
    </row>
    <row r="913">
      <c r="C913" s="1"/>
      <c r="E913" s="2"/>
      <c r="F913" s="2"/>
    </row>
    <row r="914">
      <c r="C914" s="1"/>
      <c r="E914" s="2"/>
      <c r="F914" s="2"/>
    </row>
    <row r="915">
      <c r="C915" s="1"/>
      <c r="E915" s="2"/>
      <c r="F915" s="2"/>
    </row>
    <row r="916">
      <c r="C916" s="1"/>
      <c r="E916" s="2"/>
      <c r="F916" s="2"/>
    </row>
    <row r="917">
      <c r="C917" s="1"/>
      <c r="E917" s="2"/>
      <c r="F917" s="2"/>
    </row>
    <row r="918">
      <c r="C918" s="1"/>
      <c r="E918" s="2"/>
      <c r="F918" s="2"/>
    </row>
    <row r="919">
      <c r="C919" s="1"/>
      <c r="E919" s="2"/>
      <c r="F919" s="2"/>
    </row>
    <row r="920">
      <c r="C920" s="1"/>
      <c r="E920" s="2"/>
      <c r="F920" s="2"/>
    </row>
    <row r="921">
      <c r="C921" s="1"/>
      <c r="E921" s="2"/>
      <c r="F921" s="2"/>
    </row>
    <row r="922">
      <c r="C922" s="1"/>
      <c r="E922" s="2"/>
      <c r="F922" s="2"/>
    </row>
    <row r="923">
      <c r="C923" s="1"/>
      <c r="E923" s="2"/>
      <c r="F923" s="2"/>
    </row>
    <row r="924">
      <c r="C924" s="1"/>
      <c r="E924" s="2"/>
      <c r="F924" s="2"/>
    </row>
    <row r="925">
      <c r="C925" s="1"/>
      <c r="E925" s="2"/>
      <c r="F925" s="2"/>
    </row>
    <row r="926">
      <c r="C926" s="1"/>
      <c r="E926" s="2"/>
      <c r="F926" s="2"/>
    </row>
    <row r="927">
      <c r="C927" s="1"/>
      <c r="E927" s="2"/>
      <c r="F927" s="2"/>
    </row>
    <row r="928">
      <c r="C928" s="1"/>
      <c r="E928" s="2"/>
      <c r="F928" s="2"/>
    </row>
    <row r="929">
      <c r="C929" s="1"/>
      <c r="E929" s="2"/>
      <c r="F929" s="2"/>
    </row>
    <row r="930">
      <c r="C930" s="1"/>
      <c r="E930" s="2"/>
      <c r="F930" s="2"/>
    </row>
    <row r="931">
      <c r="C931" s="1"/>
      <c r="E931" s="2"/>
      <c r="F931" s="2"/>
    </row>
    <row r="932">
      <c r="C932" s="1"/>
      <c r="E932" s="2"/>
      <c r="F932" s="2"/>
    </row>
    <row r="933">
      <c r="C933" s="1"/>
      <c r="E933" s="2"/>
      <c r="F933" s="2"/>
    </row>
    <row r="934">
      <c r="C934" s="1"/>
      <c r="E934" s="2"/>
      <c r="F934" s="2"/>
    </row>
    <row r="935">
      <c r="C935" s="1"/>
      <c r="E935" s="2"/>
      <c r="F935" s="2"/>
    </row>
    <row r="936">
      <c r="C936" s="1"/>
      <c r="E936" s="2"/>
      <c r="F936" s="2"/>
    </row>
    <row r="937">
      <c r="C937" s="1"/>
      <c r="E937" s="2"/>
      <c r="F937" s="2"/>
    </row>
    <row r="938">
      <c r="C938" s="1"/>
      <c r="E938" s="2"/>
      <c r="F938" s="2"/>
    </row>
    <row r="939">
      <c r="C939" s="1"/>
      <c r="E939" s="2"/>
      <c r="F939" s="2"/>
    </row>
    <row r="940">
      <c r="C940" s="1"/>
      <c r="E940" s="2"/>
      <c r="F940" s="2"/>
    </row>
    <row r="941">
      <c r="C941" s="1"/>
      <c r="E941" s="2"/>
      <c r="F941" s="2"/>
    </row>
    <row r="942">
      <c r="C942" s="1"/>
      <c r="E942" s="2"/>
      <c r="F942" s="2"/>
    </row>
    <row r="943">
      <c r="C943" s="1"/>
      <c r="E943" s="2"/>
      <c r="F943" s="2"/>
    </row>
    <row r="944">
      <c r="C944" s="1"/>
      <c r="E944" s="2"/>
      <c r="F944" s="2"/>
    </row>
    <row r="945">
      <c r="C945" s="1"/>
      <c r="E945" s="2"/>
      <c r="F945" s="2"/>
    </row>
    <row r="946">
      <c r="C946" s="1"/>
      <c r="E946" s="2"/>
      <c r="F946" s="2"/>
    </row>
    <row r="947">
      <c r="C947" s="1"/>
      <c r="E947" s="2"/>
      <c r="F947" s="2"/>
    </row>
    <row r="948">
      <c r="C948" s="1"/>
      <c r="E948" s="2"/>
      <c r="F948" s="2"/>
    </row>
    <row r="949">
      <c r="C949" s="1"/>
      <c r="E949" s="2"/>
      <c r="F949" s="2"/>
    </row>
    <row r="950">
      <c r="C950" s="1"/>
      <c r="E950" s="2"/>
      <c r="F950" s="2"/>
    </row>
    <row r="951">
      <c r="C951" s="1"/>
      <c r="E951" s="2"/>
      <c r="F951" s="2"/>
    </row>
    <row r="952">
      <c r="C952" s="1"/>
      <c r="E952" s="2"/>
      <c r="F952" s="2"/>
    </row>
    <row r="953">
      <c r="C953" s="1"/>
      <c r="E953" s="2"/>
      <c r="F953" s="2"/>
    </row>
    <row r="954">
      <c r="C954" s="1"/>
      <c r="E954" s="2"/>
      <c r="F954" s="2"/>
    </row>
    <row r="955">
      <c r="C955" s="1"/>
      <c r="E955" s="2"/>
      <c r="F955" s="2"/>
    </row>
    <row r="956">
      <c r="C956" s="1"/>
      <c r="E956" s="2"/>
      <c r="F956" s="2"/>
    </row>
    <row r="957">
      <c r="C957" s="1"/>
      <c r="E957" s="2"/>
      <c r="F957" s="2"/>
    </row>
    <row r="958">
      <c r="C958" s="1"/>
      <c r="E958" s="2"/>
      <c r="F958" s="2"/>
    </row>
    <row r="959">
      <c r="C959" s="1"/>
      <c r="E959" s="2"/>
      <c r="F959" s="2"/>
    </row>
    <row r="960">
      <c r="C960" s="1"/>
      <c r="E960" s="2"/>
      <c r="F960" s="2"/>
    </row>
    <row r="961">
      <c r="C961" s="1"/>
      <c r="E961" s="2"/>
      <c r="F961" s="2"/>
    </row>
    <row r="962">
      <c r="C962" s="1"/>
      <c r="E962" s="2"/>
      <c r="F962" s="2"/>
    </row>
    <row r="963">
      <c r="C963" s="1"/>
      <c r="E963" s="2"/>
      <c r="F963" s="2"/>
    </row>
    <row r="964">
      <c r="C964" s="1"/>
      <c r="E964" s="2"/>
      <c r="F964" s="2"/>
    </row>
    <row r="965">
      <c r="C965" s="1"/>
      <c r="E965" s="2"/>
      <c r="F965" s="2"/>
    </row>
    <row r="966">
      <c r="C966" s="1"/>
      <c r="E966" s="2"/>
      <c r="F966" s="2"/>
    </row>
    <row r="967">
      <c r="C967" s="1"/>
      <c r="E967" s="2"/>
      <c r="F967" s="2"/>
    </row>
    <row r="968">
      <c r="C968" s="1"/>
      <c r="E968" s="2"/>
      <c r="F96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/>
      <c r="E1" s="2"/>
      <c r="F1" s="2"/>
    </row>
    <row r="2">
      <c r="C2" s="1"/>
      <c r="E2" s="2"/>
      <c r="F2" s="2"/>
    </row>
    <row r="3">
      <c r="C3" s="1"/>
      <c r="E3" s="2"/>
      <c r="F3" s="2"/>
    </row>
    <row r="4">
      <c r="C4" s="1"/>
      <c r="E4" s="2"/>
      <c r="F4" s="2"/>
    </row>
    <row r="5">
      <c r="C5" s="1"/>
      <c r="E5" s="2"/>
      <c r="F5" s="2"/>
    </row>
    <row r="6">
      <c r="A6" s="3" t="s">
        <v>0</v>
      </c>
      <c r="C6" s="1"/>
      <c r="E6" s="2"/>
      <c r="F6" s="2"/>
    </row>
    <row r="7">
      <c r="C7" s="1"/>
      <c r="E7" s="2"/>
      <c r="F7" s="2"/>
    </row>
    <row r="8">
      <c r="C8" s="1"/>
      <c r="E8" s="2"/>
      <c r="F8" s="2"/>
    </row>
    <row r="9">
      <c r="A9" s="4" t="s">
        <v>1</v>
      </c>
      <c r="B9" s="5"/>
      <c r="C9" s="5"/>
      <c r="D9" s="6"/>
      <c r="E9" s="7"/>
      <c r="F9" s="7"/>
      <c r="G9" s="5"/>
      <c r="H9" s="5"/>
      <c r="I9" s="5"/>
      <c r="J9" s="7"/>
      <c r="K9" s="5"/>
    </row>
    <row r="10">
      <c r="A10" s="8" t="s">
        <v>3</v>
      </c>
      <c r="B10" s="8" t="s">
        <v>4</v>
      </c>
      <c r="C10" s="8" t="s">
        <v>5</v>
      </c>
      <c r="D10" s="9" t="s">
        <v>6</v>
      </c>
      <c r="E10" s="10" t="s">
        <v>7</v>
      </c>
      <c r="F10" s="10" t="s">
        <v>8</v>
      </c>
      <c r="G10" s="8" t="s">
        <v>9</v>
      </c>
      <c r="H10" s="8" t="s">
        <v>10</v>
      </c>
      <c r="I10" s="8" t="s">
        <v>11</v>
      </c>
      <c r="J10" s="10" t="s">
        <v>12</v>
      </c>
      <c r="K10" s="8" t="s">
        <v>13</v>
      </c>
    </row>
    <row r="11">
      <c r="A11" s="14" t="s">
        <v>16</v>
      </c>
      <c r="B11" s="15">
        <v>345336.02999999997</v>
      </c>
      <c r="C11" s="16">
        <f t="shared" ref="C11:C22" si="1">B11*D11</f>
        <v>130916.889</v>
      </c>
      <c r="D11" s="17">
        <v>0.3791</v>
      </c>
      <c r="E11" s="18">
        <v>0.19</v>
      </c>
      <c r="F11" s="18">
        <f t="shared" ref="F11:F22" si="2">C11*E11</f>
        <v>24874.2089</v>
      </c>
      <c r="G11" s="15">
        <f t="shared" ref="G11:G22" si="3">C11*H11</f>
        <v>10892.28516</v>
      </c>
      <c r="H11" s="19">
        <v>0.0832</v>
      </c>
      <c r="I11" s="20">
        <f t="shared" ref="I11:I23" si="4">F11/G11</f>
        <v>2.283653846</v>
      </c>
      <c r="J11" s="20">
        <f t="shared" ref="J11:J22" si="5">G11*K11</f>
        <v>1223203.624</v>
      </c>
      <c r="K11" s="18">
        <v>112.3</v>
      </c>
    </row>
    <row r="12">
      <c r="A12" s="14" t="s">
        <v>17</v>
      </c>
      <c r="B12" s="15">
        <v>403198.74</v>
      </c>
      <c r="C12" s="16">
        <f t="shared" si="1"/>
        <v>136321.494</v>
      </c>
      <c r="D12" s="17">
        <v>0.3381</v>
      </c>
      <c r="E12" s="18">
        <v>0.22</v>
      </c>
      <c r="F12" s="18">
        <f t="shared" si="2"/>
        <v>29990.72868</v>
      </c>
      <c r="G12" s="15">
        <f t="shared" si="3"/>
        <v>11682.75204</v>
      </c>
      <c r="H12" s="19">
        <v>0.0857</v>
      </c>
      <c r="I12" s="20">
        <f t="shared" si="4"/>
        <v>2.567094516</v>
      </c>
      <c r="J12" s="20">
        <f t="shared" si="5"/>
        <v>1304612.92</v>
      </c>
      <c r="K12" s="18">
        <v>111.67</v>
      </c>
    </row>
    <row r="13">
      <c r="A13" s="14" t="s">
        <v>18</v>
      </c>
      <c r="B13" s="15">
        <v>440750.61</v>
      </c>
      <c r="C13" s="16">
        <f t="shared" si="1"/>
        <v>140202.769</v>
      </c>
      <c r="D13" s="17">
        <v>0.3181</v>
      </c>
      <c r="E13" s="18">
        <v>0.18</v>
      </c>
      <c r="F13" s="18">
        <f t="shared" si="2"/>
        <v>25236.49843</v>
      </c>
      <c r="G13" s="15">
        <f t="shared" si="3"/>
        <v>11286.32291</v>
      </c>
      <c r="H13" s="19">
        <v>0.0805</v>
      </c>
      <c r="I13" s="20">
        <f t="shared" si="4"/>
        <v>2.236024845</v>
      </c>
      <c r="J13" s="20">
        <f t="shared" si="5"/>
        <v>1216327.02</v>
      </c>
      <c r="K13" s="18">
        <v>107.77</v>
      </c>
    </row>
    <row r="14">
      <c r="A14" s="14" t="s">
        <v>19</v>
      </c>
      <c r="B14" s="15">
        <v>472867.69499999995</v>
      </c>
      <c r="C14" s="16">
        <f t="shared" si="1"/>
        <v>139543.2568</v>
      </c>
      <c r="D14" s="17">
        <v>0.2951</v>
      </c>
      <c r="E14" s="18">
        <v>0.19</v>
      </c>
      <c r="F14" s="18">
        <f t="shared" si="2"/>
        <v>26513.21879</v>
      </c>
      <c r="G14" s="15">
        <f t="shared" si="3"/>
        <v>11679.77059</v>
      </c>
      <c r="H14" s="19">
        <v>0.0837</v>
      </c>
      <c r="I14" s="20">
        <f t="shared" si="4"/>
        <v>2.270011947</v>
      </c>
      <c r="J14" s="20">
        <f t="shared" si="5"/>
        <v>1320631.661</v>
      </c>
      <c r="K14" s="18">
        <v>113.07</v>
      </c>
    </row>
    <row r="15">
      <c r="A15" s="14" t="s">
        <v>20</v>
      </c>
      <c r="B15" s="15">
        <v>530349.5249999999</v>
      </c>
      <c r="C15" s="16">
        <f t="shared" si="1"/>
        <v>158521.473</v>
      </c>
      <c r="D15" s="17">
        <v>0.2989</v>
      </c>
      <c r="E15" s="18">
        <v>0.18</v>
      </c>
      <c r="F15" s="18">
        <f t="shared" si="2"/>
        <v>28533.86514</v>
      </c>
      <c r="G15" s="15">
        <f t="shared" si="3"/>
        <v>12079.33624</v>
      </c>
      <c r="H15" s="19">
        <v>0.0762</v>
      </c>
      <c r="I15" s="20">
        <f t="shared" si="4"/>
        <v>2.362204724</v>
      </c>
      <c r="J15" s="20">
        <f t="shared" si="5"/>
        <v>1256130.176</v>
      </c>
      <c r="K15" s="18">
        <v>103.99</v>
      </c>
    </row>
    <row r="16">
      <c r="A16" s="14" t="s">
        <v>21</v>
      </c>
      <c r="B16" s="15">
        <v>400662.99</v>
      </c>
      <c r="C16" s="16">
        <f t="shared" si="1"/>
        <v>116673.0627</v>
      </c>
      <c r="D16" s="17">
        <v>0.2912</v>
      </c>
      <c r="E16" s="18">
        <v>0.19</v>
      </c>
      <c r="F16" s="18">
        <f t="shared" si="2"/>
        <v>22167.88191</v>
      </c>
      <c r="G16" s="15">
        <f t="shared" si="3"/>
        <v>10395.56989</v>
      </c>
      <c r="H16" s="19">
        <v>0.0891</v>
      </c>
      <c r="I16" s="20">
        <f t="shared" si="4"/>
        <v>2.132435466</v>
      </c>
      <c r="J16" s="20">
        <f t="shared" si="5"/>
        <v>1072199.078</v>
      </c>
      <c r="K16" s="18">
        <v>103.14</v>
      </c>
    </row>
    <row r="17">
      <c r="A17" s="14" t="s">
        <v>22</v>
      </c>
      <c r="B17" s="15">
        <v>244129.58999999997</v>
      </c>
      <c r="C17" s="16">
        <f t="shared" si="1"/>
        <v>106651.3037</v>
      </c>
      <c r="D17" s="24">
        <v>0.436863485809662</v>
      </c>
      <c r="E17" s="20">
        <v>0.11539569336701307</v>
      </c>
      <c r="F17" s="18">
        <f t="shared" si="2"/>
        <v>12307.10114</v>
      </c>
      <c r="G17" s="15">
        <f t="shared" si="3"/>
        <v>10899.76324</v>
      </c>
      <c r="H17" s="19">
        <v>0.1022</v>
      </c>
      <c r="I17" s="20">
        <f t="shared" si="4"/>
        <v>1.129116373</v>
      </c>
      <c r="J17" s="20">
        <f t="shared" si="5"/>
        <v>1102789.301</v>
      </c>
      <c r="K17" s="20">
        <v>101.17552801657281</v>
      </c>
      <c r="M17" s="28"/>
      <c r="N17" s="28"/>
    </row>
    <row r="18">
      <c r="A18" s="14" t="s">
        <v>23</v>
      </c>
      <c r="B18" s="15">
        <v>225099.04499999998</v>
      </c>
      <c r="C18" s="16">
        <f t="shared" si="1"/>
        <v>103301.6188</v>
      </c>
      <c r="D18" s="24">
        <v>0.4589162910342079</v>
      </c>
      <c r="E18" s="20">
        <v>0.11965378944674579</v>
      </c>
      <c r="F18" s="18">
        <f t="shared" si="2"/>
        <v>12360.43015</v>
      </c>
      <c r="G18" s="15">
        <f t="shared" si="3"/>
        <v>10846.66998</v>
      </c>
      <c r="H18" s="19">
        <v>0.105</v>
      </c>
      <c r="I18" s="20">
        <f t="shared" si="4"/>
        <v>1.139559899</v>
      </c>
      <c r="J18" s="20">
        <f t="shared" si="5"/>
        <v>1106429.416</v>
      </c>
      <c r="K18" s="20">
        <v>102.0063686499176</v>
      </c>
      <c r="M18" s="28"/>
      <c r="N18" s="28"/>
    </row>
    <row r="19">
      <c r="A19" s="14" t="s">
        <v>24</v>
      </c>
      <c r="B19" s="15">
        <v>184952.43</v>
      </c>
      <c r="C19" s="16">
        <f t="shared" si="1"/>
        <v>83842.0276</v>
      </c>
      <c r="D19" s="24">
        <v>0.45331671281760233</v>
      </c>
      <c r="E19" s="20">
        <v>0.1239114905018328</v>
      </c>
      <c r="F19" s="18">
        <f t="shared" si="2"/>
        <v>10388.99061</v>
      </c>
      <c r="G19" s="15">
        <f t="shared" si="3"/>
        <v>8803.412897</v>
      </c>
      <c r="H19" s="19">
        <v>0.105</v>
      </c>
      <c r="I19" s="20">
        <f t="shared" si="4"/>
        <v>1.180109433</v>
      </c>
      <c r="J19" s="20">
        <f t="shared" si="5"/>
        <v>843170.8266</v>
      </c>
      <c r="K19" s="20">
        <v>95.77772125650696</v>
      </c>
      <c r="M19" s="28"/>
      <c r="N19" s="28"/>
    </row>
    <row r="20">
      <c r="A20" s="14" t="s">
        <v>25</v>
      </c>
      <c r="B20" s="15">
        <v>241872.32998420784</v>
      </c>
      <c r="C20" s="16">
        <f t="shared" si="1"/>
        <v>90311.46529</v>
      </c>
      <c r="D20" s="24">
        <v>0.37338485676139704</v>
      </c>
      <c r="E20" s="20">
        <v>0.1548766461556156</v>
      </c>
      <c r="F20" s="18">
        <f t="shared" si="2"/>
        <v>13987.13685</v>
      </c>
      <c r="G20" s="15">
        <f t="shared" si="3"/>
        <v>5756.350182</v>
      </c>
      <c r="H20" s="26">
        <v>0.06373886376679604</v>
      </c>
      <c r="I20" s="20">
        <f t="shared" si="4"/>
        <v>2.42986205</v>
      </c>
      <c r="J20" s="20">
        <f t="shared" si="5"/>
        <v>527425.8674</v>
      </c>
      <c r="K20" s="20">
        <v>91.62504898549385</v>
      </c>
      <c r="M20" s="28"/>
      <c r="N20" s="28"/>
    </row>
    <row r="21">
      <c r="A21" s="14" t="s">
        <v>26</v>
      </c>
      <c r="B21" s="15">
        <v>281968.33378316555</v>
      </c>
      <c r="C21" s="16">
        <f t="shared" si="1"/>
        <v>121579.7841</v>
      </c>
      <c r="D21" s="24">
        <v>0.4311824044652632</v>
      </c>
      <c r="E21" s="20">
        <v>0.10562877393095912</v>
      </c>
      <c r="F21" s="18">
        <f t="shared" si="2"/>
        <v>12842.32353</v>
      </c>
      <c r="G21" s="15">
        <f t="shared" si="3"/>
        <v>10856.6527</v>
      </c>
      <c r="H21" s="26">
        <v>0.08929652885378722</v>
      </c>
      <c r="I21" s="20">
        <f t="shared" si="4"/>
        <v>1.182898992</v>
      </c>
      <c r="J21" s="20">
        <f t="shared" si="5"/>
        <v>1120626.427</v>
      </c>
      <c r="K21" s="20">
        <v>103.22025189226616</v>
      </c>
      <c r="M21" s="28"/>
      <c r="N21" s="28"/>
    </row>
    <row r="22">
      <c r="A22" s="14" t="s">
        <v>27</v>
      </c>
      <c r="B22" s="16">
        <v>554628.0</v>
      </c>
      <c r="C22" s="16">
        <f t="shared" si="1"/>
        <v>152800.014</v>
      </c>
      <c r="D22" s="17">
        <v>0.2755</v>
      </c>
      <c r="E22" s="18">
        <v>0.18</v>
      </c>
      <c r="F22" s="18">
        <f t="shared" si="2"/>
        <v>27504.00252</v>
      </c>
      <c r="G22" s="15">
        <f t="shared" si="3"/>
        <v>8801.280806</v>
      </c>
      <c r="H22" s="19">
        <v>0.0576</v>
      </c>
      <c r="I22" s="20">
        <f t="shared" si="4"/>
        <v>3.125</v>
      </c>
      <c r="J22" s="20">
        <f t="shared" si="5"/>
        <v>902957.1838</v>
      </c>
      <c r="K22" s="20">
        <v>102.59383874640302</v>
      </c>
      <c r="M22" s="28"/>
      <c r="N22" s="28"/>
    </row>
    <row r="23">
      <c r="A23" s="8" t="s">
        <v>28</v>
      </c>
      <c r="B23" s="34">
        <f t="shared" ref="B23:C23" si="6">sum(B11:B22)</f>
        <v>4325815.319</v>
      </c>
      <c r="C23" s="34">
        <f t="shared" si="6"/>
        <v>1480665.158</v>
      </c>
      <c r="D23" s="35">
        <f>C23/B23</f>
        <v>0.3422858002</v>
      </c>
      <c r="E23" s="36">
        <f>F23/C23</f>
        <v>0.1666186209</v>
      </c>
      <c r="F23" s="36">
        <f t="shared" ref="F23:G23" si="7">sum(F11:F22)</f>
        <v>246706.3867</v>
      </c>
      <c r="G23" s="34">
        <f t="shared" si="7"/>
        <v>123980.1666</v>
      </c>
      <c r="H23" s="35">
        <f>G23/C23</f>
        <v>0.08373275076</v>
      </c>
      <c r="I23" s="36">
        <f t="shared" si="4"/>
        <v>1.98988591</v>
      </c>
      <c r="J23" s="36">
        <f>sum(J11:J22)</f>
        <v>12996503.5</v>
      </c>
      <c r="K23" s="36">
        <f>J23/G23</f>
        <v>104.8272789</v>
      </c>
      <c r="M23" s="28"/>
      <c r="N23" s="28"/>
    </row>
    <row r="25">
      <c r="C25" s="1"/>
      <c r="E25" s="2"/>
      <c r="F25" s="2"/>
    </row>
    <row r="26">
      <c r="A26" s="4" t="s">
        <v>34</v>
      </c>
      <c r="B26" s="5"/>
      <c r="C26" s="5"/>
      <c r="D26" s="6"/>
      <c r="E26" s="7"/>
      <c r="F26" s="7"/>
      <c r="G26" s="5"/>
      <c r="H26" s="5"/>
      <c r="I26" s="5"/>
      <c r="J26" s="7"/>
      <c r="K26" s="5"/>
    </row>
    <row r="27">
      <c r="A27" s="8" t="s">
        <v>3</v>
      </c>
      <c r="B27" s="8" t="s">
        <v>4</v>
      </c>
      <c r="C27" s="8" t="s">
        <v>5</v>
      </c>
      <c r="D27" s="9" t="s">
        <v>6</v>
      </c>
      <c r="E27" s="10" t="s">
        <v>7</v>
      </c>
      <c r="F27" s="10" t="s">
        <v>8</v>
      </c>
      <c r="G27" s="8" t="s">
        <v>9</v>
      </c>
      <c r="H27" s="8" t="s">
        <v>10</v>
      </c>
      <c r="I27" s="8" t="s">
        <v>11</v>
      </c>
      <c r="J27" s="10" t="s">
        <v>12</v>
      </c>
      <c r="K27" s="8" t="s">
        <v>13</v>
      </c>
    </row>
    <row r="28">
      <c r="A28" s="14" t="s">
        <v>16</v>
      </c>
      <c r="B28" s="15">
        <v>345336.02999999997</v>
      </c>
      <c r="C28" s="16">
        <f t="shared" ref="C28:C39" si="8">B28*D28</f>
        <v>130916.889</v>
      </c>
      <c r="D28" s="17">
        <v>0.3791</v>
      </c>
      <c r="E28" s="20">
        <v>0.18316</v>
      </c>
      <c r="F28" s="18">
        <f t="shared" ref="F28:F39" si="9">C28*E28</f>
        <v>23978.73738</v>
      </c>
      <c r="G28" s="15">
        <f t="shared" ref="G28:G39" si="10">C28*H28</f>
        <v>11469.57628</v>
      </c>
      <c r="H28" s="26">
        <v>0.0876096</v>
      </c>
      <c r="I28" s="20">
        <f t="shared" ref="I28:I40" si="11">F28/G28</f>
        <v>2.090638469</v>
      </c>
      <c r="J28" s="20">
        <f t="shared" ref="J28:J39" si="12">G28*K28</f>
        <v>1288033.416</v>
      </c>
      <c r="K28" s="18">
        <v>112.3</v>
      </c>
    </row>
    <row r="29">
      <c r="A29" s="14" t="s">
        <v>17</v>
      </c>
      <c r="B29" s="15">
        <v>403198.74</v>
      </c>
      <c r="C29" s="16">
        <f t="shared" si="8"/>
        <v>136321.494</v>
      </c>
      <c r="D29" s="17">
        <v>0.3381</v>
      </c>
      <c r="E29" s="20">
        <v>0.21208</v>
      </c>
      <c r="F29" s="18">
        <f t="shared" si="9"/>
        <v>28911.06245</v>
      </c>
      <c r="G29" s="15">
        <f t="shared" si="10"/>
        <v>12301.93789</v>
      </c>
      <c r="H29" s="26">
        <v>0.09024209999999999</v>
      </c>
      <c r="I29" s="20">
        <f t="shared" si="11"/>
        <v>2.350122615</v>
      </c>
      <c r="J29" s="20">
        <f t="shared" si="12"/>
        <v>1373757.405</v>
      </c>
      <c r="K29" s="18">
        <v>111.67</v>
      </c>
    </row>
    <row r="30">
      <c r="A30" s="14" t="s">
        <v>18</v>
      </c>
      <c r="B30" s="15">
        <v>440750.61</v>
      </c>
      <c r="C30" s="16">
        <f t="shared" si="8"/>
        <v>140202.769</v>
      </c>
      <c r="D30" s="17">
        <v>0.3181</v>
      </c>
      <c r="E30" s="20">
        <v>0.17351999999999998</v>
      </c>
      <c r="F30" s="18">
        <f t="shared" si="9"/>
        <v>24327.98448</v>
      </c>
      <c r="G30" s="15">
        <f t="shared" si="10"/>
        <v>11884.49802</v>
      </c>
      <c r="H30" s="26">
        <v>0.0847665</v>
      </c>
      <c r="I30" s="20">
        <f t="shared" si="11"/>
        <v>2.047035091</v>
      </c>
      <c r="J30" s="20">
        <f t="shared" si="12"/>
        <v>1280792.352</v>
      </c>
      <c r="K30" s="18">
        <v>107.77</v>
      </c>
    </row>
    <row r="31">
      <c r="A31" s="14" t="s">
        <v>19</v>
      </c>
      <c r="B31" s="15">
        <v>472867.69499999995</v>
      </c>
      <c r="C31" s="16">
        <f t="shared" si="8"/>
        <v>139543.2568</v>
      </c>
      <c r="D31" s="17">
        <v>0.2951</v>
      </c>
      <c r="E31" s="20">
        <v>0.18316</v>
      </c>
      <c r="F31" s="18">
        <f t="shared" si="9"/>
        <v>25558.74291</v>
      </c>
      <c r="G31" s="15">
        <f t="shared" si="10"/>
        <v>12298.79844</v>
      </c>
      <c r="H31" s="26">
        <v>0.0881361</v>
      </c>
      <c r="I31" s="20">
        <f t="shared" si="11"/>
        <v>2.078149589</v>
      </c>
      <c r="J31" s="20">
        <f t="shared" si="12"/>
        <v>1390625.139</v>
      </c>
      <c r="K31" s="18">
        <v>113.07</v>
      </c>
    </row>
    <row r="32">
      <c r="A32" s="14" t="s">
        <v>20</v>
      </c>
      <c r="B32" s="15">
        <v>530349.5249999999</v>
      </c>
      <c r="C32" s="16">
        <f t="shared" si="8"/>
        <v>158521.473</v>
      </c>
      <c r="D32" s="17">
        <v>0.2989</v>
      </c>
      <c r="E32" s="20">
        <v>0.17351999999999998</v>
      </c>
      <c r="F32" s="18">
        <f t="shared" si="9"/>
        <v>27506.646</v>
      </c>
      <c r="G32" s="15">
        <f t="shared" si="10"/>
        <v>12719.54107</v>
      </c>
      <c r="H32" s="26">
        <v>0.0802386</v>
      </c>
      <c r="I32" s="20">
        <f t="shared" si="11"/>
        <v>2.162550194</v>
      </c>
      <c r="J32" s="20">
        <f t="shared" si="12"/>
        <v>1322705.075</v>
      </c>
      <c r="K32" s="18">
        <v>103.99</v>
      </c>
    </row>
    <row r="33">
      <c r="A33" s="14" t="s">
        <v>21</v>
      </c>
      <c r="B33" s="15">
        <v>400662.99</v>
      </c>
      <c r="C33" s="16">
        <f t="shared" si="8"/>
        <v>116673.0627</v>
      </c>
      <c r="D33" s="17">
        <v>0.2912</v>
      </c>
      <c r="E33" s="20">
        <v>0.18316</v>
      </c>
      <c r="F33" s="18">
        <f t="shared" si="9"/>
        <v>21369.83816</v>
      </c>
      <c r="G33" s="15">
        <f t="shared" si="10"/>
        <v>10946.53509</v>
      </c>
      <c r="H33" s="26">
        <v>0.0938223</v>
      </c>
      <c r="I33" s="20">
        <f t="shared" si="11"/>
        <v>1.952201129</v>
      </c>
      <c r="J33" s="20">
        <f t="shared" si="12"/>
        <v>1129025.629</v>
      </c>
      <c r="K33" s="18">
        <v>103.14</v>
      </c>
    </row>
    <row r="34">
      <c r="A34" s="14" t="s">
        <v>22</v>
      </c>
      <c r="B34" s="15">
        <v>244129.58999999997</v>
      </c>
      <c r="C34" s="16">
        <f t="shared" si="8"/>
        <v>106651.3037</v>
      </c>
      <c r="D34" s="24">
        <v>0.436863485809662</v>
      </c>
      <c r="E34" s="20">
        <v>0.1112414484058006</v>
      </c>
      <c r="F34" s="18">
        <f t="shared" si="9"/>
        <v>11864.0455</v>
      </c>
      <c r="G34" s="15">
        <f t="shared" si="10"/>
        <v>11477.45069</v>
      </c>
      <c r="H34" s="26">
        <v>0.10761659999999999</v>
      </c>
      <c r="I34" s="20">
        <f t="shared" si="11"/>
        <v>1.033682986</v>
      </c>
      <c r="J34" s="20">
        <f t="shared" si="12"/>
        <v>1161237.134</v>
      </c>
      <c r="K34" s="20">
        <v>101.17552801657281</v>
      </c>
    </row>
    <row r="35">
      <c r="A35" s="14" t="s">
        <v>23</v>
      </c>
      <c r="B35" s="15">
        <v>225099.04499999998</v>
      </c>
      <c r="C35" s="16">
        <f t="shared" si="8"/>
        <v>103301.6188</v>
      </c>
      <c r="D35" s="24">
        <v>0.4589162910342079</v>
      </c>
      <c r="E35" s="20">
        <v>0.11534625302666293</v>
      </c>
      <c r="F35" s="18">
        <f t="shared" si="9"/>
        <v>11915.45467</v>
      </c>
      <c r="G35" s="15">
        <f t="shared" si="10"/>
        <v>11421.54349</v>
      </c>
      <c r="H35" s="26">
        <v>0.11056499999999998</v>
      </c>
      <c r="I35" s="20">
        <f t="shared" si="11"/>
        <v>1.043243821</v>
      </c>
      <c r="J35" s="20">
        <f t="shared" si="12"/>
        <v>1165070.176</v>
      </c>
      <c r="K35" s="20">
        <v>102.0063686499176</v>
      </c>
    </row>
    <row r="36">
      <c r="A36" s="14" t="s">
        <v>24</v>
      </c>
      <c r="B36" s="15">
        <v>184952.43</v>
      </c>
      <c r="C36" s="16">
        <f t="shared" si="8"/>
        <v>83842.0276</v>
      </c>
      <c r="D36" s="24">
        <v>0.45331671281760233</v>
      </c>
      <c r="E36" s="20">
        <v>0.11945067684376681</v>
      </c>
      <c r="F36" s="18">
        <f t="shared" si="9"/>
        <v>10014.98694</v>
      </c>
      <c r="G36" s="15">
        <f t="shared" si="10"/>
        <v>9269.993781</v>
      </c>
      <c r="H36" s="26">
        <v>0.11056499999999998</v>
      </c>
      <c r="I36" s="20">
        <f t="shared" si="11"/>
        <v>1.080366091</v>
      </c>
      <c r="J36" s="20">
        <f t="shared" si="12"/>
        <v>887858.8804</v>
      </c>
      <c r="K36" s="20">
        <v>95.77772125650696</v>
      </c>
    </row>
    <row r="37">
      <c r="A37" s="14" t="s">
        <v>25</v>
      </c>
      <c r="B37" s="15">
        <v>241872.32998420784</v>
      </c>
      <c r="C37" s="16">
        <f t="shared" si="8"/>
        <v>90311.46529</v>
      </c>
      <c r="D37" s="24">
        <v>0.37338485676139704</v>
      </c>
      <c r="E37" s="20">
        <v>0.14930108689401345</v>
      </c>
      <c r="F37" s="18">
        <f t="shared" si="9"/>
        <v>13483.59993</v>
      </c>
      <c r="G37" s="15">
        <f t="shared" si="10"/>
        <v>6061.436742</v>
      </c>
      <c r="H37" s="26">
        <v>0.06711702354643623</v>
      </c>
      <c r="I37" s="20">
        <f t="shared" si="11"/>
        <v>2.224489094</v>
      </c>
      <c r="J37" s="20">
        <f t="shared" si="12"/>
        <v>555379.4384</v>
      </c>
      <c r="K37" s="20">
        <v>91.62504898549385</v>
      </c>
    </row>
    <row r="38">
      <c r="A38" s="14" t="s">
        <v>26</v>
      </c>
      <c r="B38" s="15">
        <v>281968.33378316555</v>
      </c>
      <c r="C38" s="16">
        <f t="shared" si="8"/>
        <v>121579.7841</v>
      </c>
      <c r="D38" s="24">
        <v>0.4311824044652632</v>
      </c>
      <c r="E38" s="20">
        <v>0.1018261380694446</v>
      </c>
      <c r="F38" s="18">
        <f t="shared" si="9"/>
        <v>12379.99989</v>
      </c>
      <c r="G38" s="15">
        <f t="shared" si="10"/>
        <v>11432.0553</v>
      </c>
      <c r="H38" s="26">
        <v>0.09402924488303793</v>
      </c>
      <c r="I38" s="20">
        <f t="shared" si="11"/>
        <v>1.082919875</v>
      </c>
      <c r="J38" s="20">
        <f t="shared" si="12"/>
        <v>1180019.627</v>
      </c>
      <c r="K38" s="20">
        <v>103.22025189226616</v>
      </c>
    </row>
    <row r="39">
      <c r="A39" s="14" t="s">
        <v>27</v>
      </c>
      <c r="B39" s="16">
        <v>554628.0</v>
      </c>
      <c r="C39" s="16">
        <f t="shared" si="8"/>
        <v>152800.014</v>
      </c>
      <c r="D39" s="17">
        <v>0.2755</v>
      </c>
      <c r="E39" s="20">
        <v>0.17351999999999998</v>
      </c>
      <c r="F39" s="18">
        <f t="shared" si="9"/>
        <v>26513.85843</v>
      </c>
      <c r="G39" s="15">
        <f t="shared" si="10"/>
        <v>9267.748689</v>
      </c>
      <c r="H39" s="26">
        <v>0.06065279999999999</v>
      </c>
      <c r="I39" s="20">
        <f t="shared" si="11"/>
        <v>2.860873694</v>
      </c>
      <c r="J39" s="20">
        <f t="shared" si="12"/>
        <v>950813.9146</v>
      </c>
      <c r="K39" s="20">
        <v>102.59383874640302</v>
      </c>
    </row>
    <row r="40">
      <c r="A40" s="8" t="s">
        <v>28</v>
      </c>
      <c r="B40" s="34">
        <f t="shared" ref="B40:C40" si="13">sum(B28:B39)</f>
        <v>4325815.319</v>
      </c>
      <c r="C40" s="34">
        <f t="shared" si="13"/>
        <v>1480665.158</v>
      </c>
      <c r="D40" s="35">
        <f>C40/B40</f>
        <v>0.3422858002</v>
      </c>
      <c r="E40" s="36">
        <f>F40/C40</f>
        <v>0.1606203506</v>
      </c>
      <c r="F40" s="36">
        <f t="shared" ref="F40:G40" si="14">sum(F28:F39)</f>
        <v>237824.9567</v>
      </c>
      <c r="G40" s="34">
        <f t="shared" si="14"/>
        <v>130551.1155</v>
      </c>
      <c r="H40" s="35">
        <f>G40/C40</f>
        <v>0.08817058655</v>
      </c>
      <c r="I40" s="36">
        <f t="shared" si="11"/>
        <v>1.821699921</v>
      </c>
      <c r="J40" s="36">
        <f>sum(J28:J39)</f>
        <v>13685318.19</v>
      </c>
      <c r="K40" s="36">
        <f>J40/G40</f>
        <v>104.8272789</v>
      </c>
    </row>
    <row r="41">
      <c r="C41" s="1"/>
      <c r="E41" s="2"/>
      <c r="F41" s="2"/>
    </row>
    <row r="42">
      <c r="C42" s="1"/>
      <c r="E42" s="2"/>
      <c r="F42" s="2">
        <f>F40-F23</f>
        <v>-8881.42992</v>
      </c>
      <c r="J42" s="2">
        <f>J40-J23</f>
        <v>688814.6855</v>
      </c>
    </row>
    <row r="43">
      <c r="C43" s="1"/>
      <c r="E43" s="2"/>
      <c r="F43" s="2"/>
    </row>
    <row r="44">
      <c r="C44" s="1"/>
      <c r="E44" s="2"/>
      <c r="F44" s="2"/>
    </row>
    <row r="45">
      <c r="C45" s="1"/>
      <c r="E45" s="2"/>
      <c r="F45" s="2"/>
    </row>
    <row r="46">
      <c r="C46" s="1"/>
      <c r="E46" s="2"/>
      <c r="F46" s="2"/>
    </row>
    <row r="47">
      <c r="C47" s="1"/>
      <c r="E47" s="2"/>
      <c r="F47" s="2"/>
    </row>
    <row r="48">
      <c r="C48" s="1"/>
      <c r="E48" s="2"/>
      <c r="F48" s="2"/>
    </row>
    <row r="49">
      <c r="C49" s="1"/>
      <c r="E49" s="2"/>
      <c r="F49" s="2"/>
    </row>
    <row r="50">
      <c r="C50" s="1"/>
      <c r="E50" s="2"/>
      <c r="F50" s="2"/>
    </row>
    <row r="51">
      <c r="C51" s="1"/>
      <c r="E51" s="2"/>
      <c r="F51" s="2"/>
    </row>
    <row r="52">
      <c r="C52" s="1"/>
      <c r="E52" s="2"/>
      <c r="F52" s="2"/>
    </row>
    <row r="53">
      <c r="C53" s="1"/>
      <c r="E53" s="2"/>
      <c r="F53" s="2"/>
    </row>
    <row r="54">
      <c r="C54" s="1"/>
      <c r="E54" s="2"/>
      <c r="F54" s="2"/>
    </row>
    <row r="55">
      <c r="C55" s="1"/>
      <c r="E55" s="2"/>
      <c r="F55" s="2"/>
    </row>
    <row r="56">
      <c r="C56" s="1"/>
      <c r="E56" s="2"/>
      <c r="F56" s="2"/>
    </row>
    <row r="57">
      <c r="C57" s="1"/>
      <c r="E57" s="2"/>
      <c r="F57" s="2"/>
    </row>
    <row r="58">
      <c r="C58" s="1"/>
      <c r="E58" s="2"/>
      <c r="F58" s="2"/>
    </row>
    <row r="59">
      <c r="C59" s="1"/>
      <c r="E59" s="2"/>
      <c r="F59" s="2"/>
    </row>
    <row r="60">
      <c r="C60" s="1"/>
      <c r="E60" s="2"/>
      <c r="F60" s="2"/>
    </row>
    <row r="61">
      <c r="C61" s="1"/>
      <c r="E61" s="2"/>
      <c r="F61" s="2"/>
    </row>
    <row r="62">
      <c r="C62" s="1"/>
      <c r="E62" s="2"/>
      <c r="F62" s="2"/>
    </row>
    <row r="63">
      <c r="C63" s="1"/>
      <c r="E63" s="2"/>
      <c r="F63" s="2"/>
    </row>
    <row r="64">
      <c r="C64" s="1"/>
      <c r="E64" s="2"/>
      <c r="F64" s="2"/>
    </row>
    <row r="65">
      <c r="C65" s="1"/>
      <c r="E65" s="2"/>
      <c r="F65" s="2"/>
    </row>
    <row r="66">
      <c r="C66" s="1"/>
      <c r="E66" s="2"/>
      <c r="F66" s="2"/>
    </row>
    <row r="67">
      <c r="C67" s="1"/>
      <c r="E67" s="2"/>
      <c r="F67" s="2"/>
    </row>
    <row r="68">
      <c r="C68" s="1"/>
      <c r="E68" s="2"/>
      <c r="F68" s="2"/>
    </row>
    <row r="69">
      <c r="C69" s="1"/>
      <c r="E69" s="2"/>
      <c r="F69" s="2"/>
    </row>
    <row r="70">
      <c r="C70" s="1"/>
      <c r="E70" s="2"/>
      <c r="F70" s="2"/>
    </row>
    <row r="71">
      <c r="C71" s="1"/>
      <c r="E71" s="2"/>
      <c r="F71" s="2"/>
    </row>
    <row r="72">
      <c r="C72" s="1"/>
      <c r="E72" s="2"/>
      <c r="F72" s="2"/>
    </row>
    <row r="73">
      <c r="C73" s="1"/>
      <c r="E73" s="2"/>
      <c r="F73" s="2"/>
    </row>
    <row r="74">
      <c r="C74" s="1"/>
      <c r="E74" s="2"/>
      <c r="F74" s="2"/>
    </row>
    <row r="75">
      <c r="C75" s="1"/>
      <c r="E75" s="2"/>
      <c r="F75" s="2"/>
    </row>
    <row r="76">
      <c r="C76" s="1"/>
      <c r="E76" s="2"/>
      <c r="F76" s="2"/>
    </row>
    <row r="77">
      <c r="C77" s="1"/>
      <c r="E77" s="2"/>
      <c r="F77" s="2"/>
    </row>
    <row r="78">
      <c r="C78" s="1"/>
      <c r="E78" s="2"/>
      <c r="F78" s="2"/>
    </row>
    <row r="79">
      <c r="C79" s="1"/>
      <c r="E79" s="2"/>
      <c r="F79" s="2"/>
    </row>
    <row r="80">
      <c r="C80" s="1"/>
      <c r="E80" s="2"/>
      <c r="F80" s="2"/>
    </row>
    <row r="81">
      <c r="C81" s="1"/>
      <c r="E81" s="2"/>
      <c r="F81" s="2"/>
    </row>
    <row r="82">
      <c r="C82" s="1"/>
      <c r="E82" s="2"/>
      <c r="F82" s="2"/>
    </row>
    <row r="83">
      <c r="C83" s="1"/>
      <c r="E83" s="2"/>
      <c r="F83" s="2"/>
    </row>
    <row r="84">
      <c r="C84" s="1"/>
      <c r="E84" s="2"/>
      <c r="F84" s="2"/>
    </row>
    <row r="85">
      <c r="C85" s="1"/>
      <c r="E85" s="2"/>
      <c r="F85" s="2"/>
    </row>
    <row r="86">
      <c r="C86" s="1"/>
      <c r="E86" s="2"/>
      <c r="F86" s="2"/>
    </row>
    <row r="87">
      <c r="C87" s="1"/>
      <c r="E87" s="2"/>
      <c r="F87" s="2"/>
    </row>
    <row r="88">
      <c r="C88" s="1"/>
      <c r="E88" s="2"/>
      <c r="F88" s="2"/>
    </row>
    <row r="89">
      <c r="C89" s="1"/>
      <c r="E89" s="2"/>
      <c r="F89" s="2"/>
    </row>
    <row r="90">
      <c r="C90" s="1"/>
      <c r="E90" s="2"/>
      <c r="F90" s="2"/>
    </row>
    <row r="91">
      <c r="C91" s="1"/>
      <c r="E91" s="2"/>
      <c r="F91" s="2"/>
    </row>
    <row r="92">
      <c r="C92" s="1"/>
      <c r="E92" s="2"/>
      <c r="F92" s="2"/>
    </row>
    <row r="93">
      <c r="C93" s="1"/>
      <c r="E93" s="2"/>
      <c r="F93" s="2"/>
    </row>
    <row r="94">
      <c r="C94" s="1"/>
      <c r="E94" s="2"/>
      <c r="F94" s="2"/>
    </row>
    <row r="95">
      <c r="C95" s="1"/>
      <c r="E95" s="2"/>
      <c r="F95" s="2"/>
    </row>
    <row r="96">
      <c r="C96" s="1"/>
      <c r="E96" s="2"/>
      <c r="F96" s="2"/>
    </row>
    <row r="97">
      <c r="C97" s="1"/>
      <c r="E97" s="2"/>
      <c r="F97" s="2"/>
    </row>
    <row r="98">
      <c r="C98" s="1"/>
      <c r="E98" s="2"/>
      <c r="F98" s="2"/>
    </row>
    <row r="99">
      <c r="C99" s="1"/>
      <c r="E99" s="2"/>
      <c r="F99" s="2"/>
    </row>
    <row r="100">
      <c r="C100" s="1"/>
      <c r="E100" s="2"/>
      <c r="F100" s="2"/>
    </row>
    <row r="101">
      <c r="C101" s="1"/>
      <c r="E101" s="2"/>
      <c r="F101" s="2"/>
    </row>
    <row r="102">
      <c r="C102" s="1"/>
      <c r="E102" s="2"/>
      <c r="F102" s="2"/>
    </row>
    <row r="103">
      <c r="C103" s="1"/>
      <c r="E103" s="2"/>
      <c r="F103" s="2"/>
    </row>
    <row r="104">
      <c r="C104" s="1"/>
      <c r="E104" s="2"/>
      <c r="F104" s="2"/>
    </row>
    <row r="105">
      <c r="C105" s="1"/>
      <c r="E105" s="2"/>
      <c r="F105" s="2"/>
    </row>
    <row r="106">
      <c r="C106" s="1"/>
      <c r="E106" s="2"/>
      <c r="F106" s="2"/>
    </row>
    <row r="107">
      <c r="C107" s="1"/>
      <c r="E107" s="2"/>
      <c r="F107" s="2"/>
    </row>
    <row r="108">
      <c r="C108" s="1"/>
      <c r="E108" s="2"/>
      <c r="F108" s="2"/>
    </row>
    <row r="109">
      <c r="C109" s="1"/>
      <c r="E109" s="2"/>
      <c r="F109" s="2"/>
    </row>
    <row r="110">
      <c r="C110" s="1"/>
      <c r="E110" s="2"/>
      <c r="F110" s="2"/>
    </row>
    <row r="111">
      <c r="C111" s="1"/>
      <c r="E111" s="2"/>
      <c r="F111" s="2"/>
    </row>
    <row r="112">
      <c r="C112" s="1"/>
      <c r="E112" s="2"/>
      <c r="F112" s="2"/>
    </row>
    <row r="113">
      <c r="C113" s="1"/>
      <c r="E113" s="2"/>
      <c r="F113" s="2"/>
    </row>
    <row r="114">
      <c r="C114" s="1"/>
      <c r="E114" s="2"/>
      <c r="F114" s="2"/>
    </row>
    <row r="115">
      <c r="C115" s="1"/>
      <c r="E115" s="2"/>
      <c r="F115" s="2"/>
    </row>
    <row r="116">
      <c r="C116" s="1"/>
      <c r="E116" s="2"/>
      <c r="F116" s="2"/>
    </row>
    <row r="117">
      <c r="C117" s="1"/>
      <c r="E117" s="2"/>
      <c r="F117" s="2"/>
    </row>
    <row r="118">
      <c r="C118" s="1"/>
      <c r="E118" s="2"/>
      <c r="F118" s="2"/>
    </row>
    <row r="119">
      <c r="C119" s="1"/>
      <c r="E119" s="2"/>
      <c r="F119" s="2"/>
    </row>
    <row r="120">
      <c r="C120" s="1"/>
      <c r="E120" s="2"/>
      <c r="F120" s="2"/>
    </row>
    <row r="121">
      <c r="C121" s="1"/>
      <c r="E121" s="2"/>
      <c r="F121" s="2"/>
    </row>
    <row r="122">
      <c r="C122" s="1"/>
      <c r="E122" s="2"/>
      <c r="F122" s="2"/>
    </row>
    <row r="123">
      <c r="C123" s="1"/>
      <c r="E123" s="2"/>
      <c r="F123" s="2"/>
    </row>
    <row r="124">
      <c r="C124" s="1"/>
      <c r="E124" s="2"/>
      <c r="F124" s="2"/>
    </row>
    <row r="125">
      <c r="C125" s="1"/>
      <c r="E125" s="2"/>
      <c r="F125" s="2"/>
    </row>
    <row r="126">
      <c r="C126" s="1"/>
      <c r="E126" s="2"/>
      <c r="F126" s="2"/>
    </row>
    <row r="127">
      <c r="C127" s="1"/>
      <c r="E127" s="2"/>
      <c r="F127" s="2"/>
    </row>
    <row r="128">
      <c r="C128" s="1"/>
      <c r="E128" s="2"/>
      <c r="F128" s="2"/>
    </row>
    <row r="129">
      <c r="C129" s="1"/>
      <c r="E129" s="2"/>
      <c r="F129" s="2"/>
    </row>
    <row r="130">
      <c r="C130" s="1"/>
      <c r="E130" s="2"/>
      <c r="F130" s="2"/>
    </row>
    <row r="131">
      <c r="C131" s="1"/>
      <c r="E131" s="2"/>
      <c r="F131" s="2"/>
    </row>
    <row r="132">
      <c r="C132" s="1"/>
      <c r="E132" s="2"/>
      <c r="F132" s="2"/>
    </row>
    <row r="133">
      <c r="C133" s="1"/>
      <c r="E133" s="2"/>
      <c r="F133" s="2"/>
    </row>
    <row r="134">
      <c r="C134" s="1"/>
      <c r="E134" s="2"/>
      <c r="F134" s="2"/>
    </row>
    <row r="135">
      <c r="C135" s="1"/>
      <c r="E135" s="2"/>
      <c r="F135" s="2"/>
    </row>
    <row r="136">
      <c r="C136" s="1"/>
      <c r="E136" s="2"/>
      <c r="F136" s="2"/>
    </row>
    <row r="137">
      <c r="C137" s="1"/>
      <c r="E137" s="2"/>
      <c r="F137" s="2"/>
    </row>
    <row r="138">
      <c r="C138" s="1"/>
      <c r="E138" s="2"/>
      <c r="F138" s="2"/>
    </row>
    <row r="139">
      <c r="C139" s="1"/>
      <c r="E139" s="2"/>
      <c r="F139" s="2"/>
    </row>
    <row r="140">
      <c r="C140" s="1"/>
      <c r="E140" s="2"/>
      <c r="F140" s="2"/>
    </row>
    <row r="141">
      <c r="C141" s="1"/>
      <c r="E141" s="2"/>
      <c r="F141" s="2"/>
    </row>
    <row r="142">
      <c r="C142" s="1"/>
      <c r="E142" s="2"/>
      <c r="F142" s="2"/>
    </row>
    <row r="143">
      <c r="C143" s="1"/>
      <c r="E143" s="2"/>
      <c r="F143" s="2"/>
    </row>
    <row r="144">
      <c r="C144" s="1"/>
      <c r="E144" s="2"/>
      <c r="F144" s="2"/>
    </row>
    <row r="145">
      <c r="C145" s="1"/>
      <c r="E145" s="2"/>
      <c r="F145" s="2"/>
    </row>
    <row r="146">
      <c r="C146" s="1"/>
      <c r="E146" s="2"/>
      <c r="F146" s="2"/>
    </row>
    <row r="147">
      <c r="C147" s="1"/>
      <c r="E147" s="2"/>
      <c r="F147" s="2"/>
    </row>
    <row r="148">
      <c r="C148" s="1"/>
      <c r="E148" s="2"/>
      <c r="F148" s="2"/>
    </row>
    <row r="149">
      <c r="C149" s="1"/>
      <c r="E149" s="2"/>
      <c r="F149" s="2"/>
    </row>
    <row r="150">
      <c r="C150" s="1"/>
      <c r="E150" s="2"/>
      <c r="F150" s="2"/>
    </row>
    <row r="151">
      <c r="C151" s="1"/>
      <c r="E151" s="2"/>
      <c r="F151" s="2"/>
    </row>
    <row r="152">
      <c r="C152" s="1"/>
      <c r="E152" s="2"/>
      <c r="F152" s="2"/>
    </row>
    <row r="153">
      <c r="C153" s="1"/>
      <c r="E153" s="2"/>
      <c r="F153" s="2"/>
    </row>
    <row r="154">
      <c r="C154" s="1"/>
      <c r="E154" s="2"/>
      <c r="F154" s="2"/>
    </row>
    <row r="155">
      <c r="C155" s="1"/>
      <c r="E155" s="2"/>
      <c r="F155" s="2"/>
    </row>
    <row r="156">
      <c r="C156" s="1"/>
      <c r="E156" s="2"/>
      <c r="F156" s="2"/>
    </row>
    <row r="157">
      <c r="C157" s="1"/>
      <c r="E157" s="2"/>
      <c r="F157" s="2"/>
    </row>
    <row r="158">
      <c r="C158" s="1"/>
      <c r="E158" s="2"/>
      <c r="F158" s="2"/>
    </row>
    <row r="159">
      <c r="C159" s="1"/>
      <c r="E159" s="2"/>
      <c r="F159" s="2"/>
    </row>
    <row r="160">
      <c r="C160" s="1"/>
      <c r="E160" s="2"/>
      <c r="F160" s="2"/>
    </row>
    <row r="161">
      <c r="C161" s="1"/>
      <c r="E161" s="2"/>
      <c r="F161" s="2"/>
    </row>
    <row r="162">
      <c r="C162" s="1"/>
      <c r="E162" s="2"/>
      <c r="F162" s="2"/>
    </row>
    <row r="163">
      <c r="C163" s="1"/>
      <c r="E163" s="2"/>
      <c r="F163" s="2"/>
    </row>
    <row r="164">
      <c r="C164" s="1"/>
      <c r="E164" s="2"/>
      <c r="F164" s="2"/>
    </row>
    <row r="165">
      <c r="C165" s="1"/>
      <c r="E165" s="2"/>
      <c r="F165" s="2"/>
    </row>
    <row r="166">
      <c r="C166" s="1"/>
      <c r="E166" s="2"/>
      <c r="F166" s="2"/>
    </row>
    <row r="167">
      <c r="C167" s="1"/>
      <c r="E167" s="2"/>
      <c r="F167" s="2"/>
    </row>
    <row r="168">
      <c r="C168" s="1"/>
      <c r="E168" s="2"/>
      <c r="F168" s="2"/>
    </row>
    <row r="169">
      <c r="C169" s="1"/>
      <c r="E169" s="2"/>
      <c r="F169" s="2"/>
    </row>
    <row r="170">
      <c r="C170" s="1"/>
      <c r="E170" s="2"/>
      <c r="F170" s="2"/>
    </row>
    <row r="171">
      <c r="C171" s="1"/>
      <c r="E171" s="2"/>
      <c r="F171" s="2"/>
    </row>
    <row r="172">
      <c r="C172" s="1"/>
      <c r="E172" s="2"/>
      <c r="F172" s="2"/>
    </row>
    <row r="173">
      <c r="C173" s="1"/>
      <c r="E173" s="2"/>
      <c r="F173" s="2"/>
    </row>
    <row r="174">
      <c r="C174" s="1"/>
      <c r="E174" s="2"/>
      <c r="F174" s="2"/>
    </row>
    <row r="175">
      <c r="C175" s="1"/>
      <c r="E175" s="2"/>
      <c r="F175" s="2"/>
    </row>
    <row r="176">
      <c r="C176" s="1"/>
      <c r="E176" s="2"/>
      <c r="F176" s="2"/>
    </row>
    <row r="177">
      <c r="C177" s="1"/>
      <c r="E177" s="2"/>
      <c r="F177" s="2"/>
    </row>
    <row r="178">
      <c r="C178" s="1"/>
      <c r="E178" s="2"/>
      <c r="F178" s="2"/>
    </row>
    <row r="179">
      <c r="C179" s="1"/>
      <c r="E179" s="2"/>
      <c r="F179" s="2"/>
    </row>
    <row r="180">
      <c r="C180" s="1"/>
      <c r="E180" s="2"/>
      <c r="F180" s="2"/>
    </row>
    <row r="181">
      <c r="C181" s="1"/>
      <c r="E181" s="2"/>
      <c r="F181" s="2"/>
    </row>
    <row r="182">
      <c r="C182" s="1"/>
      <c r="E182" s="2"/>
      <c r="F182" s="2"/>
    </row>
    <row r="183">
      <c r="C183" s="1"/>
      <c r="E183" s="2"/>
      <c r="F183" s="2"/>
    </row>
    <row r="184">
      <c r="C184" s="1"/>
      <c r="E184" s="2"/>
      <c r="F184" s="2"/>
    </row>
    <row r="185">
      <c r="C185" s="1"/>
      <c r="E185" s="2"/>
      <c r="F185" s="2"/>
    </row>
    <row r="186">
      <c r="C186" s="1"/>
      <c r="E186" s="2"/>
      <c r="F186" s="2"/>
    </row>
    <row r="187">
      <c r="C187" s="1"/>
      <c r="E187" s="2"/>
      <c r="F187" s="2"/>
    </row>
    <row r="188">
      <c r="C188" s="1"/>
      <c r="E188" s="2"/>
      <c r="F188" s="2"/>
    </row>
    <row r="189">
      <c r="C189" s="1"/>
      <c r="E189" s="2"/>
      <c r="F189" s="2"/>
    </row>
    <row r="190">
      <c r="C190" s="1"/>
      <c r="E190" s="2"/>
      <c r="F190" s="2"/>
    </row>
    <row r="191">
      <c r="C191" s="1"/>
      <c r="E191" s="2"/>
      <c r="F191" s="2"/>
    </row>
    <row r="192">
      <c r="C192" s="1"/>
      <c r="E192" s="2"/>
      <c r="F192" s="2"/>
    </row>
    <row r="193">
      <c r="C193" s="1"/>
      <c r="E193" s="2"/>
      <c r="F193" s="2"/>
    </row>
    <row r="194">
      <c r="C194" s="1"/>
      <c r="E194" s="2"/>
      <c r="F194" s="2"/>
    </row>
    <row r="195">
      <c r="C195" s="1"/>
      <c r="E195" s="2"/>
      <c r="F195" s="2"/>
    </row>
    <row r="196">
      <c r="C196" s="1"/>
      <c r="E196" s="2"/>
      <c r="F196" s="2"/>
    </row>
    <row r="197">
      <c r="C197" s="1"/>
      <c r="E197" s="2"/>
      <c r="F197" s="2"/>
    </row>
    <row r="198">
      <c r="C198" s="1"/>
      <c r="E198" s="2"/>
      <c r="F198" s="2"/>
    </row>
    <row r="199">
      <c r="C199" s="1"/>
      <c r="E199" s="2"/>
      <c r="F199" s="2"/>
    </row>
    <row r="200">
      <c r="C200" s="1"/>
      <c r="E200" s="2"/>
      <c r="F200" s="2"/>
    </row>
    <row r="201">
      <c r="C201" s="1"/>
      <c r="E201" s="2"/>
      <c r="F201" s="2"/>
    </row>
    <row r="202">
      <c r="C202" s="1"/>
      <c r="E202" s="2"/>
      <c r="F202" s="2"/>
    </row>
    <row r="203">
      <c r="C203" s="1"/>
      <c r="E203" s="2"/>
      <c r="F203" s="2"/>
    </row>
    <row r="204">
      <c r="C204" s="1"/>
      <c r="E204" s="2"/>
      <c r="F204" s="2"/>
    </row>
    <row r="205">
      <c r="C205" s="1"/>
      <c r="E205" s="2"/>
      <c r="F205" s="2"/>
    </row>
    <row r="206">
      <c r="C206" s="1"/>
      <c r="E206" s="2"/>
      <c r="F206" s="2"/>
    </row>
    <row r="207">
      <c r="C207" s="1"/>
      <c r="E207" s="2"/>
      <c r="F207" s="2"/>
    </row>
    <row r="208">
      <c r="C208" s="1"/>
      <c r="E208" s="2"/>
      <c r="F208" s="2"/>
    </row>
    <row r="209">
      <c r="C209" s="1"/>
      <c r="E209" s="2"/>
      <c r="F209" s="2"/>
    </row>
    <row r="210">
      <c r="C210" s="1"/>
      <c r="E210" s="2"/>
      <c r="F210" s="2"/>
    </row>
    <row r="211">
      <c r="C211" s="1"/>
      <c r="E211" s="2"/>
      <c r="F211" s="2"/>
    </row>
    <row r="212">
      <c r="C212" s="1"/>
      <c r="E212" s="2"/>
      <c r="F212" s="2"/>
    </row>
    <row r="213">
      <c r="C213" s="1"/>
      <c r="E213" s="2"/>
      <c r="F213" s="2"/>
    </row>
    <row r="214">
      <c r="C214" s="1"/>
      <c r="E214" s="2"/>
      <c r="F214" s="2"/>
    </row>
    <row r="215">
      <c r="C215" s="1"/>
      <c r="E215" s="2"/>
      <c r="F215" s="2"/>
    </row>
    <row r="216">
      <c r="C216" s="1"/>
      <c r="E216" s="2"/>
      <c r="F216" s="2"/>
    </row>
    <row r="217">
      <c r="C217" s="1"/>
      <c r="E217" s="2"/>
      <c r="F217" s="2"/>
    </row>
    <row r="218">
      <c r="C218" s="1"/>
      <c r="E218" s="2"/>
      <c r="F218" s="2"/>
    </row>
    <row r="219">
      <c r="C219" s="1"/>
      <c r="E219" s="2"/>
      <c r="F219" s="2"/>
    </row>
    <row r="220">
      <c r="C220" s="1"/>
      <c r="E220" s="2"/>
      <c r="F220" s="2"/>
    </row>
    <row r="221">
      <c r="C221" s="1"/>
      <c r="E221" s="2"/>
      <c r="F221" s="2"/>
    </row>
    <row r="222">
      <c r="C222" s="1"/>
      <c r="E222" s="2"/>
      <c r="F222" s="2"/>
    </row>
    <row r="223">
      <c r="C223" s="1"/>
      <c r="E223" s="2"/>
      <c r="F223" s="2"/>
    </row>
    <row r="224">
      <c r="C224" s="1"/>
      <c r="E224" s="2"/>
      <c r="F224" s="2"/>
    </row>
    <row r="225">
      <c r="C225" s="1"/>
      <c r="E225" s="2"/>
      <c r="F225" s="2"/>
    </row>
    <row r="226">
      <c r="C226" s="1"/>
      <c r="E226" s="2"/>
      <c r="F226" s="2"/>
    </row>
    <row r="227">
      <c r="C227" s="1"/>
      <c r="E227" s="2"/>
      <c r="F227" s="2"/>
    </row>
    <row r="228">
      <c r="C228" s="1"/>
      <c r="E228" s="2"/>
      <c r="F228" s="2"/>
    </row>
    <row r="229">
      <c r="C229" s="1"/>
      <c r="E229" s="2"/>
      <c r="F229" s="2"/>
    </row>
    <row r="230">
      <c r="C230" s="1"/>
      <c r="E230" s="2"/>
      <c r="F230" s="2"/>
    </row>
    <row r="231">
      <c r="C231" s="1"/>
      <c r="E231" s="2"/>
      <c r="F231" s="2"/>
    </row>
    <row r="232">
      <c r="C232" s="1"/>
      <c r="E232" s="2"/>
      <c r="F232" s="2"/>
    </row>
    <row r="233">
      <c r="C233" s="1"/>
      <c r="E233" s="2"/>
      <c r="F233" s="2"/>
    </row>
    <row r="234">
      <c r="C234" s="1"/>
      <c r="E234" s="2"/>
      <c r="F234" s="2"/>
    </row>
    <row r="235">
      <c r="C235" s="1"/>
      <c r="E235" s="2"/>
      <c r="F235" s="2"/>
    </row>
    <row r="236">
      <c r="C236" s="1"/>
      <c r="E236" s="2"/>
      <c r="F236" s="2"/>
    </row>
    <row r="237">
      <c r="C237" s="1"/>
      <c r="E237" s="2"/>
      <c r="F237" s="2"/>
    </row>
    <row r="238">
      <c r="C238" s="1"/>
      <c r="E238" s="2"/>
      <c r="F238" s="2"/>
    </row>
    <row r="239">
      <c r="C239" s="1"/>
      <c r="E239" s="2"/>
      <c r="F239" s="2"/>
    </row>
    <row r="240">
      <c r="C240" s="1"/>
      <c r="E240" s="2"/>
      <c r="F240" s="2"/>
    </row>
    <row r="241">
      <c r="C241" s="1"/>
      <c r="E241" s="2"/>
      <c r="F241" s="2"/>
    </row>
    <row r="242">
      <c r="C242" s="1"/>
      <c r="E242" s="2"/>
      <c r="F242" s="2"/>
    </row>
    <row r="243">
      <c r="C243" s="1"/>
      <c r="E243" s="2"/>
      <c r="F243" s="2"/>
    </row>
    <row r="244">
      <c r="C244" s="1"/>
      <c r="E244" s="2"/>
      <c r="F244" s="2"/>
    </row>
    <row r="245">
      <c r="C245" s="1"/>
      <c r="E245" s="2"/>
      <c r="F245" s="2"/>
    </row>
    <row r="246">
      <c r="C246" s="1"/>
      <c r="E246" s="2"/>
      <c r="F246" s="2"/>
    </row>
    <row r="247">
      <c r="C247" s="1"/>
      <c r="E247" s="2"/>
      <c r="F247" s="2"/>
    </row>
    <row r="248">
      <c r="C248" s="1"/>
      <c r="E248" s="2"/>
      <c r="F248" s="2"/>
    </row>
    <row r="249">
      <c r="C249" s="1"/>
      <c r="E249" s="2"/>
      <c r="F249" s="2"/>
    </row>
    <row r="250">
      <c r="C250" s="1"/>
      <c r="E250" s="2"/>
      <c r="F250" s="2"/>
    </row>
    <row r="251">
      <c r="C251" s="1"/>
      <c r="E251" s="2"/>
      <c r="F251" s="2"/>
    </row>
    <row r="252">
      <c r="C252" s="1"/>
      <c r="E252" s="2"/>
      <c r="F252" s="2"/>
    </row>
    <row r="253">
      <c r="C253" s="1"/>
      <c r="E253" s="2"/>
      <c r="F253" s="2"/>
    </row>
    <row r="254">
      <c r="C254" s="1"/>
      <c r="E254" s="2"/>
      <c r="F254" s="2"/>
    </row>
    <row r="255">
      <c r="C255" s="1"/>
      <c r="E255" s="2"/>
      <c r="F255" s="2"/>
    </row>
    <row r="256">
      <c r="C256" s="1"/>
      <c r="E256" s="2"/>
      <c r="F256" s="2"/>
    </row>
    <row r="257">
      <c r="C257" s="1"/>
      <c r="E257" s="2"/>
      <c r="F257" s="2"/>
    </row>
    <row r="258">
      <c r="C258" s="1"/>
      <c r="E258" s="2"/>
      <c r="F258" s="2"/>
    </row>
    <row r="259">
      <c r="C259" s="1"/>
      <c r="E259" s="2"/>
      <c r="F259" s="2"/>
    </row>
    <row r="260">
      <c r="C260" s="1"/>
      <c r="E260" s="2"/>
      <c r="F260" s="2"/>
    </row>
    <row r="261">
      <c r="C261" s="1"/>
      <c r="E261" s="2"/>
      <c r="F261" s="2"/>
    </row>
    <row r="262">
      <c r="C262" s="1"/>
      <c r="E262" s="2"/>
      <c r="F262" s="2"/>
    </row>
    <row r="263">
      <c r="C263" s="1"/>
      <c r="E263" s="2"/>
      <c r="F263" s="2"/>
    </row>
    <row r="264">
      <c r="C264" s="1"/>
      <c r="E264" s="2"/>
      <c r="F264" s="2"/>
    </row>
    <row r="265">
      <c r="C265" s="1"/>
      <c r="E265" s="2"/>
      <c r="F265" s="2"/>
    </row>
    <row r="266">
      <c r="C266" s="1"/>
      <c r="E266" s="2"/>
      <c r="F266" s="2"/>
    </row>
    <row r="267">
      <c r="C267" s="1"/>
      <c r="E267" s="2"/>
      <c r="F267" s="2"/>
    </row>
    <row r="268">
      <c r="C268" s="1"/>
      <c r="E268" s="2"/>
      <c r="F268" s="2"/>
    </row>
    <row r="269">
      <c r="C269" s="1"/>
      <c r="E269" s="2"/>
      <c r="F269" s="2"/>
    </row>
    <row r="270">
      <c r="C270" s="1"/>
      <c r="E270" s="2"/>
      <c r="F270" s="2"/>
    </row>
    <row r="271">
      <c r="C271" s="1"/>
      <c r="E271" s="2"/>
      <c r="F271" s="2"/>
    </row>
    <row r="272">
      <c r="C272" s="1"/>
      <c r="E272" s="2"/>
      <c r="F272" s="2"/>
    </row>
    <row r="273">
      <c r="C273" s="1"/>
      <c r="E273" s="2"/>
      <c r="F273" s="2"/>
    </row>
    <row r="274">
      <c r="C274" s="1"/>
      <c r="E274" s="2"/>
      <c r="F274" s="2"/>
    </row>
    <row r="275">
      <c r="C275" s="1"/>
      <c r="E275" s="2"/>
      <c r="F275" s="2"/>
    </row>
    <row r="276">
      <c r="C276" s="1"/>
      <c r="E276" s="2"/>
      <c r="F276" s="2"/>
    </row>
    <row r="277">
      <c r="C277" s="1"/>
      <c r="E277" s="2"/>
      <c r="F277" s="2"/>
    </row>
    <row r="278">
      <c r="C278" s="1"/>
      <c r="E278" s="2"/>
      <c r="F278" s="2"/>
    </row>
    <row r="279">
      <c r="C279" s="1"/>
      <c r="E279" s="2"/>
      <c r="F279" s="2"/>
    </row>
    <row r="280">
      <c r="C280" s="1"/>
      <c r="E280" s="2"/>
      <c r="F280" s="2"/>
    </row>
    <row r="281">
      <c r="C281" s="1"/>
      <c r="E281" s="2"/>
      <c r="F281" s="2"/>
    </row>
    <row r="282">
      <c r="C282" s="1"/>
      <c r="E282" s="2"/>
      <c r="F282" s="2"/>
    </row>
    <row r="283">
      <c r="C283" s="1"/>
      <c r="E283" s="2"/>
      <c r="F283" s="2"/>
    </row>
    <row r="284">
      <c r="C284" s="1"/>
      <c r="E284" s="2"/>
      <c r="F284" s="2"/>
    </row>
    <row r="285">
      <c r="C285" s="1"/>
      <c r="E285" s="2"/>
      <c r="F285" s="2"/>
    </row>
    <row r="286">
      <c r="C286" s="1"/>
      <c r="E286" s="2"/>
      <c r="F286" s="2"/>
    </row>
    <row r="287">
      <c r="C287" s="1"/>
      <c r="E287" s="2"/>
      <c r="F287" s="2"/>
    </row>
    <row r="288">
      <c r="C288" s="1"/>
      <c r="E288" s="2"/>
      <c r="F288" s="2"/>
    </row>
    <row r="289">
      <c r="C289" s="1"/>
      <c r="E289" s="2"/>
      <c r="F289" s="2"/>
    </row>
    <row r="290">
      <c r="C290" s="1"/>
      <c r="E290" s="2"/>
      <c r="F290" s="2"/>
    </row>
    <row r="291">
      <c r="C291" s="1"/>
      <c r="E291" s="2"/>
      <c r="F291" s="2"/>
    </row>
    <row r="292">
      <c r="C292" s="1"/>
      <c r="E292" s="2"/>
      <c r="F292" s="2"/>
    </row>
    <row r="293">
      <c r="C293" s="1"/>
      <c r="E293" s="2"/>
      <c r="F293" s="2"/>
    </row>
    <row r="294">
      <c r="C294" s="1"/>
      <c r="E294" s="2"/>
      <c r="F294" s="2"/>
    </row>
    <row r="295">
      <c r="C295" s="1"/>
      <c r="E295" s="2"/>
      <c r="F295" s="2"/>
    </row>
    <row r="296">
      <c r="C296" s="1"/>
      <c r="E296" s="2"/>
      <c r="F296" s="2"/>
    </row>
    <row r="297">
      <c r="C297" s="1"/>
      <c r="E297" s="2"/>
      <c r="F297" s="2"/>
    </row>
    <row r="298">
      <c r="C298" s="1"/>
      <c r="E298" s="2"/>
      <c r="F298" s="2"/>
    </row>
    <row r="299">
      <c r="C299" s="1"/>
      <c r="E299" s="2"/>
      <c r="F299" s="2"/>
    </row>
    <row r="300">
      <c r="C300" s="1"/>
      <c r="E300" s="2"/>
      <c r="F300" s="2"/>
    </row>
    <row r="301">
      <c r="C301" s="1"/>
      <c r="E301" s="2"/>
      <c r="F301" s="2"/>
    </row>
    <row r="302">
      <c r="C302" s="1"/>
      <c r="E302" s="2"/>
      <c r="F302" s="2"/>
    </row>
    <row r="303">
      <c r="C303" s="1"/>
      <c r="E303" s="2"/>
      <c r="F303" s="2"/>
    </row>
    <row r="304">
      <c r="C304" s="1"/>
      <c r="E304" s="2"/>
      <c r="F304" s="2"/>
    </row>
    <row r="305">
      <c r="C305" s="1"/>
      <c r="E305" s="2"/>
      <c r="F305" s="2"/>
    </row>
    <row r="306">
      <c r="C306" s="1"/>
      <c r="E306" s="2"/>
      <c r="F306" s="2"/>
    </row>
    <row r="307">
      <c r="C307" s="1"/>
      <c r="E307" s="2"/>
      <c r="F307" s="2"/>
    </row>
    <row r="308">
      <c r="C308" s="1"/>
      <c r="E308" s="2"/>
      <c r="F308" s="2"/>
    </row>
    <row r="309">
      <c r="C309" s="1"/>
      <c r="E309" s="2"/>
      <c r="F309" s="2"/>
    </row>
    <row r="310">
      <c r="C310" s="1"/>
      <c r="E310" s="2"/>
      <c r="F310" s="2"/>
    </row>
    <row r="311">
      <c r="C311" s="1"/>
      <c r="E311" s="2"/>
      <c r="F311" s="2"/>
    </row>
    <row r="312">
      <c r="C312" s="1"/>
      <c r="E312" s="2"/>
      <c r="F312" s="2"/>
    </row>
    <row r="313">
      <c r="C313" s="1"/>
      <c r="E313" s="2"/>
      <c r="F313" s="2"/>
    </row>
    <row r="314">
      <c r="C314" s="1"/>
      <c r="E314" s="2"/>
      <c r="F314" s="2"/>
    </row>
    <row r="315">
      <c r="C315" s="1"/>
      <c r="E315" s="2"/>
      <c r="F315" s="2"/>
    </row>
    <row r="316">
      <c r="C316" s="1"/>
      <c r="E316" s="2"/>
      <c r="F316" s="2"/>
    </row>
    <row r="317">
      <c r="C317" s="1"/>
      <c r="E317" s="2"/>
      <c r="F317" s="2"/>
    </row>
    <row r="318">
      <c r="C318" s="1"/>
      <c r="E318" s="2"/>
      <c r="F318" s="2"/>
    </row>
    <row r="319">
      <c r="C319" s="1"/>
      <c r="E319" s="2"/>
      <c r="F319" s="2"/>
    </row>
    <row r="320">
      <c r="C320" s="1"/>
      <c r="E320" s="2"/>
      <c r="F320" s="2"/>
    </row>
    <row r="321">
      <c r="C321" s="1"/>
      <c r="E321" s="2"/>
      <c r="F321" s="2"/>
    </row>
    <row r="322">
      <c r="C322" s="1"/>
      <c r="E322" s="2"/>
      <c r="F322" s="2"/>
    </row>
    <row r="323">
      <c r="C323" s="1"/>
      <c r="E323" s="2"/>
      <c r="F323" s="2"/>
    </row>
    <row r="324">
      <c r="C324" s="1"/>
      <c r="E324" s="2"/>
      <c r="F324" s="2"/>
    </row>
    <row r="325">
      <c r="C325" s="1"/>
      <c r="E325" s="2"/>
      <c r="F325" s="2"/>
    </row>
    <row r="326">
      <c r="C326" s="1"/>
      <c r="E326" s="2"/>
      <c r="F326" s="2"/>
    </row>
    <row r="327">
      <c r="C327" s="1"/>
      <c r="E327" s="2"/>
      <c r="F327" s="2"/>
    </row>
    <row r="328">
      <c r="C328" s="1"/>
      <c r="E328" s="2"/>
      <c r="F328" s="2"/>
    </row>
    <row r="329">
      <c r="C329" s="1"/>
      <c r="E329" s="2"/>
      <c r="F329" s="2"/>
    </row>
    <row r="330">
      <c r="C330" s="1"/>
      <c r="E330" s="2"/>
      <c r="F330" s="2"/>
    </row>
    <row r="331">
      <c r="C331" s="1"/>
      <c r="E331" s="2"/>
      <c r="F331" s="2"/>
    </row>
    <row r="332">
      <c r="C332" s="1"/>
      <c r="E332" s="2"/>
      <c r="F332" s="2"/>
    </row>
    <row r="333">
      <c r="C333" s="1"/>
      <c r="E333" s="2"/>
      <c r="F333" s="2"/>
    </row>
    <row r="334">
      <c r="C334" s="1"/>
      <c r="E334" s="2"/>
      <c r="F334" s="2"/>
    </row>
    <row r="335">
      <c r="C335" s="1"/>
      <c r="E335" s="2"/>
      <c r="F335" s="2"/>
    </row>
    <row r="336">
      <c r="C336" s="1"/>
      <c r="E336" s="2"/>
      <c r="F336" s="2"/>
    </row>
    <row r="337">
      <c r="C337" s="1"/>
      <c r="E337" s="2"/>
      <c r="F337" s="2"/>
    </row>
    <row r="338">
      <c r="C338" s="1"/>
      <c r="E338" s="2"/>
      <c r="F338" s="2"/>
    </row>
    <row r="339">
      <c r="C339" s="1"/>
      <c r="E339" s="2"/>
      <c r="F339" s="2"/>
    </row>
    <row r="340">
      <c r="C340" s="1"/>
      <c r="E340" s="2"/>
      <c r="F340" s="2"/>
    </row>
    <row r="341">
      <c r="C341" s="1"/>
      <c r="E341" s="2"/>
      <c r="F341" s="2"/>
    </row>
    <row r="342">
      <c r="C342" s="1"/>
      <c r="E342" s="2"/>
      <c r="F342" s="2"/>
    </row>
    <row r="343">
      <c r="C343" s="1"/>
      <c r="E343" s="2"/>
      <c r="F343" s="2"/>
    </row>
    <row r="344">
      <c r="C344" s="1"/>
      <c r="E344" s="2"/>
      <c r="F344" s="2"/>
    </row>
    <row r="345">
      <c r="C345" s="1"/>
      <c r="E345" s="2"/>
      <c r="F345" s="2"/>
    </row>
    <row r="346">
      <c r="C346" s="1"/>
      <c r="E346" s="2"/>
      <c r="F346" s="2"/>
    </row>
    <row r="347">
      <c r="C347" s="1"/>
      <c r="E347" s="2"/>
      <c r="F347" s="2"/>
    </row>
    <row r="348">
      <c r="C348" s="1"/>
      <c r="E348" s="2"/>
      <c r="F348" s="2"/>
    </row>
    <row r="349">
      <c r="C349" s="1"/>
      <c r="E349" s="2"/>
      <c r="F349" s="2"/>
    </row>
    <row r="350">
      <c r="C350" s="1"/>
      <c r="E350" s="2"/>
      <c r="F350" s="2"/>
    </row>
    <row r="351">
      <c r="C351" s="1"/>
      <c r="E351" s="2"/>
      <c r="F351" s="2"/>
    </row>
    <row r="352">
      <c r="C352" s="1"/>
      <c r="E352" s="2"/>
      <c r="F352" s="2"/>
    </row>
    <row r="353">
      <c r="C353" s="1"/>
      <c r="E353" s="2"/>
      <c r="F353" s="2"/>
    </row>
    <row r="354">
      <c r="C354" s="1"/>
      <c r="E354" s="2"/>
      <c r="F354" s="2"/>
    </row>
    <row r="355">
      <c r="C355" s="1"/>
      <c r="E355" s="2"/>
      <c r="F355" s="2"/>
    </row>
    <row r="356">
      <c r="C356" s="1"/>
      <c r="E356" s="2"/>
      <c r="F356" s="2"/>
    </row>
    <row r="357">
      <c r="C357" s="1"/>
      <c r="E357" s="2"/>
      <c r="F357" s="2"/>
    </row>
    <row r="358">
      <c r="C358" s="1"/>
      <c r="E358" s="2"/>
      <c r="F358" s="2"/>
    </row>
    <row r="359">
      <c r="C359" s="1"/>
      <c r="E359" s="2"/>
      <c r="F359" s="2"/>
    </row>
    <row r="360">
      <c r="C360" s="1"/>
      <c r="E360" s="2"/>
      <c r="F360" s="2"/>
    </row>
    <row r="361">
      <c r="C361" s="1"/>
      <c r="E361" s="2"/>
      <c r="F361" s="2"/>
    </row>
    <row r="362">
      <c r="C362" s="1"/>
      <c r="E362" s="2"/>
      <c r="F362" s="2"/>
    </row>
    <row r="363">
      <c r="C363" s="1"/>
      <c r="E363" s="2"/>
      <c r="F363" s="2"/>
    </row>
    <row r="364">
      <c r="C364" s="1"/>
      <c r="E364" s="2"/>
      <c r="F364" s="2"/>
    </row>
    <row r="365">
      <c r="C365" s="1"/>
      <c r="E365" s="2"/>
      <c r="F365" s="2"/>
    </row>
    <row r="366">
      <c r="C366" s="1"/>
      <c r="E366" s="2"/>
      <c r="F366" s="2"/>
    </row>
    <row r="367">
      <c r="C367" s="1"/>
      <c r="E367" s="2"/>
      <c r="F367" s="2"/>
    </row>
    <row r="368">
      <c r="C368" s="1"/>
      <c r="E368" s="2"/>
      <c r="F368" s="2"/>
    </row>
    <row r="369">
      <c r="C369" s="1"/>
      <c r="E369" s="2"/>
      <c r="F369" s="2"/>
    </row>
    <row r="370">
      <c r="C370" s="1"/>
      <c r="E370" s="2"/>
      <c r="F370" s="2"/>
    </row>
    <row r="371">
      <c r="C371" s="1"/>
      <c r="E371" s="2"/>
      <c r="F371" s="2"/>
    </row>
    <row r="372">
      <c r="C372" s="1"/>
      <c r="E372" s="2"/>
      <c r="F372" s="2"/>
    </row>
    <row r="373">
      <c r="C373" s="1"/>
      <c r="E373" s="2"/>
      <c r="F373" s="2"/>
    </row>
    <row r="374">
      <c r="C374" s="1"/>
      <c r="E374" s="2"/>
      <c r="F374" s="2"/>
    </row>
    <row r="375">
      <c r="C375" s="1"/>
      <c r="E375" s="2"/>
      <c r="F375" s="2"/>
    </row>
    <row r="376">
      <c r="C376" s="1"/>
      <c r="E376" s="2"/>
      <c r="F376" s="2"/>
    </row>
    <row r="377">
      <c r="C377" s="1"/>
      <c r="E377" s="2"/>
      <c r="F377" s="2"/>
    </row>
    <row r="378">
      <c r="C378" s="1"/>
      <c r="E378" s="2"/>
      <c r="F378" s="2"/>
    </row>
    <row r="379">
      <c r="C379" s="1"/>
      <c r="E379" s="2"/>
      <c r="F379" s="2"/>
    </row>
    <row r="380">
      <c r="C380" s="1"/>
      <c r="E380" s="2"/>
      <c r="F380" s="2"/>
    </row>
    <row r="381">
      <c r="C381" s="1"/>
      <c r="E381" s="2"/>
      <c r="F381" s="2"/>
    </row>
    <row r="382">
      <c r="C382" s="1"/>
      <c r="E382" s="2"/>
      <c r="F382" s="2"/>
    </row>
    <row r="383">
      <c r="C383" s="1"/>
      <c r="E383" s="2"/>
      <c r="F383" s="2"/>
    </row>
    <row r="384">
      <c r="C384" s="1"/>
      <c r="E384" s="2"/>
      <c r="F384" s="2"/>
    </row>
    <row r="385">
      <c r="C385" s="1"/>
      <c r="E385" s="2"/>
      <c r="F385" s="2"/>
    </row>
    <row r="386">
      <c r="C386" s="1"/>
      <c r="E386" s="2"/>
      <c r="F386" s="2"/>
    </row>
    <row r="387">
      <c r="C387" s="1"/>
      <c r="E387" s="2"/>
      <c r="F387" s="2"/>
    </row>
    <row r="388">
      <c r="C388" s="1"/>
      <c r="E388" s="2"/>
      <c r="F388" s="2"/>
    </row>
    <row r="389">
      <c r="C389" s="1"/>
      <c r="E389" s="2"/>
      <c r="F389" s="2"/>
    </row>
    <row r="390">
      <c r="C390" s="1"/>
      <c r="E390" s="2"/>
      <c r="F390" s="2"/>
    </row>
    <row r="391">
      <c r="C391" s="1"/>
      <c r="E391" s="2"/>
      <c r="F391" s="2"/>
    </row>
    <row r="392">
      <c r="C392" s="1"/>
      <c r="E392" s="2"/>
      <c r="F392" s="2"/>
    </row>
    <row r="393">
      <c r="C393" s="1"/>
      <c r="E393" s="2"/>
      <c r="F393" s="2"/>
    </row>
    <row r="394">
      <c r="C394" s="1"/>
      <c r="E394" s="2"/>
      <c r="F394" s="2"/>
    </row>
    <row r="395">
      <c r="C395" s="1"/>
      <c r="E395" s="2"/>
      <c r="F395" s="2"/>
    </row>
    <row r="396">
      <c r="C396" s="1"/>
      <c r="E396" s="2"/>
      <c r="F396" s="2"/>
    </row>
    <row r="397">
      <c r="C397" s="1"/>
      <c r="E397" s="2"/>
      <c r="F397" s="2"/>
    </row>
    <row r="398">
      <c r="C398" s="1"/>
      <c r="E398" s="2"/>
      <c r="F398" s="2"/>
    </row>
    <row r="399">
      <c r="C399" s="1"/>
      <c r="E399" s="2"/>
      <c r="F399" s="2"/>
    </row>
    <row r="400">
      <c r="C400" s="1"/>
      <c r="E400" s="2"/>
      <c r="F400" s="2"/>
    </row>
    <row r="401">
      <c r="C401" s="1"/>
      <c r="E401" s="2"/>
      <c r="F401" s="2"/>
    </row>
    <row r="402">
      <c r="C402" s="1"/>
      <c r="E402" s="2"/>
      <c r="F402" s="2"/>
    </row>
    <row r="403">
      <c r="C403" s="1"/>
      <c r="E403" s="2"/>
      <c r="F403" s="2"/>
    </row>
    <row r="404">
      <c r="C404" s="1"/>
      <c r="E404" s="2"/>
      <c r="F404" s="2"/>
    </row>
    <row r="405">
      <c r="C405" s="1"/>
      <c r="E405" s="2"/>
      <c r="F405" s="2"/>
    </row>
    <row r="406">
      <c r="C406" s="1"/>
      <c r="E406" s="2"/>
      <c r="F406" s="2"/>
    </row>
    <row r="407">
      <c r="C407" s="1"/>
      <c r="E407" s="2"/>
      <c r="F407" s="2"/>
    </row>
    <row r="408">
      <c r="C408" s="1"/>
      <c r="E408" s="2"/>
      <c r="F408" s="2"/>
    </row>
    <row r="409">
      <c r="C409" s="1"/>
      <c r="E409" s="2"/>
      <c r="F409" s="2"/>
    </row>
    <row r="410">
      <c r="C410" s="1"/>
      <c r="E410" s="2"/>
      <c r="F410" s="2"/>
    </row>
    <row r="411">
      <c r="C411" s="1"/>
      <c r="E411" s="2"/>
      <c r="F411" s="2"/>
    </row>
    <row r="412">
      <c r="C412" s="1"/>
      <c r="E412" s="2"/>
      <c r="F412" s="2"/>
    </row>
    <row r="413">
      <c r="C413" s="1"/>
      <c r="E413" s="2"/>
      <c r="F413" s="2"/>
    </row>
    <row r="414">
      <c r="C414" s="1"/>
      <c r="E414" s="2"/>
      <c r="F414" s="2"/>
    </row>
    <row r="415">
      <c r="C415" s="1"/>
      <c r="E415" s="2"/>
      <c r="F415" s="2"/>
    </row>
    <row r="416">
      <c r="C416" s="1"/>
      <c r="E416" s="2"/>
      <c r="F416" s="2"/>
    </row>
    <row r="417">
      <c r="C417" s="1"/>
      <c r="E417" s="2"/>
      <c r="F417" s="2"/>
    </row>
    <row r="418">
      <c r="C418" s="1"/>
      <c r="E418" s="2"/>
      <c r="F418" s="2"/>
    </row>
    <row r="419">
      <c r="C419" s="1"/>
      <c r="E419" s="2"/>
      <c r="F419" s="2"/>
    </row>
    <row r="420">
      <c r="C420" s="1"/>
      <c r="E420" s="2"/>
      <c r="F420" s="2"/>
    </row>
    <row r="421">
      <c r="C421" s="1"/>
      <c r="E421" s="2"/>
      <c r="F421" s="2"/>
    </row>
    <row r="422">
      <c r="C422" s="1"/>
      <c r="E422" s="2"/>
      <c r="F422" s="2"/>
    </row>
    <row r="423">
      <c r="C423" s="1"/>
      <c r="E423" s="2"/>
      <c r="F423" s="2"/>
    </row>
    <row r="424">
      <c r="C424" s="1"/>
      <c r="E424" s="2"/>
      <c r="F424" s="2"/>
    </row>
    <row r="425">
      <c r="C425" s="1"/>
      <c r="E425" s="2"/>
      <c r="F425" s="2"/>
    </row>
    <row r="426">
      <c r="C426" s="1"/>
      <c r="E426" s="2"/>
      <c r="F426" s="2"/>
    </row>
    <row r="427">
      <c r="C427" s="1"/>
      <c r="E427" s="2"/>
      <c r="F427" s="2"/>
    </row>
    <row r="428">
      <c r="C428" s="1"/>
      <c r="E428" s="2"/>
      <c r="F428" s="2"/>
    </row>
    <row r="429">
      <c r="C429" s="1"/>
      <c r="E429" s="2"/>
      <c r="F429" s="2"/>
    </row>
    <row r="430">
      <c r="C430" s="1"/>
      <c r="E430" s="2"/>
      <c r="F430" s="2"/>
    </row>
    <row r="431">
      <c r="C431" s="1"/>
      <c r="E431" s="2"/>
      <c r="F431" s="2"/>
    </row>
    <row r="432">
      <c r="C432" s="1"/>
      <c r="E432" s="2"/>
      <c r="F432" s="2"/>
    </row>
    <row r="433">
      <c r="C433" s="1"/>
      <c r="E433" s="2"/>
      <c r="F433" s="2"/>
    </row>
    <row r="434">
      <c r="C434" s="1"/>
      <c r="E434" s="2"/>
      <c r="F434" s="2"/>
    </row>
    <row r="435">
      <c r="C435" s="1"/>
      <c r="E435" s="2"/>
      <c r="F435" s="2"/>
    </row>
    <row r="436">
      <c r="C436" s="1"/>
      <c r="E436" s="2"/>
      <c r="F436" s="2"/>
    </row>
    <row r="437">
      <c r="C437" s="1"/>
      <c r="E437" s="2"/>
      <c r="F437" s="2"/>
    </row>
    <row r="438">
      <c r="C438" s="1"/>
      <c r="E438" s="2"/>
      <c r="F438" s="2"/>
    </row>
    <row r="439">
      <c r="C439" s="1"/>
      <c r="E439" s="2"/>
      <c r="F439" s="2"/>
    </row>
    <row r="440">
      <c r="C440" s="1"/>
      <c r="E440" s="2"/>
      <c r="F440" s="2"/>
    </row>
    <row r="441">
      <c r="C441" s="1"/>
      <c r="E441" s="2"/>
      <c r="F441" s="2"/>
    </row>
    <row r="442">
      <c r="C442" s="1"/>
      <c r="E442" s="2"/>
      <c r="F442" s="2"/>
    </row>
    <row r="443">
      <c r="C443" s="1"/>
      <c r="E443" s="2"/>
      <c r="F443" s="2"/>
    </row>
    <row r="444">
      <c r="C444" s="1"/>
      <c r="E444" s="2"/>
      <c r="F444" s="2"/>
    </row>
    <row r="445">
      <c r="C445" s="1"/>
      <c r="E445" s="2"/>
      <c r="F445" s="2"/>
    </row>
    <row r="446">
      <c r="C446" s="1"/>
      <c r="E446" s="2"/>
      <c r="F446" s="2"/>
    </row>
    <row r="447">
      <c r="C447" s="1"/>
      <c r="E447" s="2"/>
      <c r="F447" s="2"/>
    </row>
    <row r="448">
      <c r="C448" s="1"/>
      <c r="E448" s="2"/>
      <c r="F448" s="2"/>
    </row>
    <row r="449">
      <c r="C449" s="1"/>
      <c r="E449" s="2"/>
      <c r="F449" s="2"/>
    </row>
    <row r="450">
      <c r="C450" s="1"/>
      <c r="E450" s="2"/>
      <c r="F450" s="2"/>
    </row>
    <row r="451">
      <c r="C451" s="1"/>
      <c r="E451" s="2"/>
      <c r="F451" s="2"/>
    </row>
    <row r="452">
      <c r="C452" s="1"/>
      <c r="E452" s="2"/>
      <c r="F452" s="2"/>
    </row>
    <row r="453">
      <c r="C453" s="1"/>
      <c r="E453" s="2"/>
      <c r="F453" s="2"/>
    </row>
    <row r="454">
      <c r="C454" s="1"/>
      <c r="E454" s="2"/>
      <c r="F454" s="2"/>
    </row>
    <row r="455">
      <c r="C455" s="1"/>
      <c r="E455" s="2"/>
      <c r="F455" s="2"/>
    </row>
    <row r="456">
      <c r="C456" s="1"/>
      <c r="E456" s="2"/>
      <c r="F456" s="2"/>
    </row>
    <row r="457">
      <c r="C457" s="1"/>
      <c r="E457" s="2"/>
      <c r="F457" s="2"/>
    </row>
    <row r="458">
      <c r="C458" s="1"/>
      <c r="E458" s="2"/>
      <c r="F458" s="2"/>
    </row>
    <row r="459">
      <c r="C459" s="1"/>
      <c r="E459" s="2"/>
      <c r="F459" s="2"/>
    </row>
    <row r="460">
      <c r="C460" s="1"/>
      <c r="E460" s="2"/>
      <c r="F460" s="2"/>
    </row>
    <row r="461">
      <c r="C461" s="1"/>
      <c r="E461" s="2"/>
      <c r="F461" s="2"/>
    </row>
    <row r="462">
      <c r="C462" s="1"/>
      <c r="E462" s="2"/>
      <c r="F462" s="2"/>
    </row>
    <row r="463">
      <c r="C463" s="1"/>
      <c r="E463" s="2"/>
      <c r="F463" s="2"/>
    </row>
    <row r="464">
      <c r="C464" s="1"/>
      <c r="E464" s="2"/>
      <c r="F464" s="2"/>
    </row>
    <row r="465">
      <c r="C465" s="1"/>
      <c r="E465" s="2"/>
      <c r="F465" s="2"/>
    </row>
    <row r="466">
      <c r="C466" s="1"/>
      <c r="E466" s="2"/>
      <c r="F466" s="2"/>
    </row>
    <row r="467">
      <c r="C467" s="1"/>
      <c r="E467" s="2"/>
      <c r="F467" s="2"/>
    </row>
    <row r="468">
      <c r="C468" s="1"/>
      <c r="E468" s="2"/>
      <c r="F468" s="2"/>
    </row>
    <row r="469">
      <c r="C469" s="1"/>
      <c r="E469" s="2"/>
      <c r="F469" s="2"/>
    </row>
    <row r="470">
      <c r="C470" s="1"/>
      <c r="E470" s="2"/>
      <c r="F470" s="2"/>
    </row>
    <row r="471">
      <c r="C471" s="1"/>
      <c r="E471" s="2"/>
      <c r="F471" s="2"/>
    </row>
    <row r="472">
      <c r="C472" s="1"/>
      <c r="E472" s="2"/>
      <c r="F472" s="2"/>
    </row>
    <row r="473">
      <c r="C473" s="1"/>
      <c r="E473" s="2"/>
      <c r="F473" s="2"/>
    </row>
    <row r="474">
      <c r="C474" s="1"/>
      <c r="E474" s="2"/>
      <c r="F474" s="2"/>
    </row>
    <row r="475">
      <c r="C475" s="1"/>
      <c r="E475" s="2"/>
      <c r="F475" s="2"/>
    </row>
    <row r="476">
      <c r="C476" s="1"/>
      <c r="E476" s="2"/>
      <c r="F476" s="2"/>
    </row>
    <row r="477">
      <c r="C477" s="1"/>
      <c r="E477" s="2"/>
      <c r="F477" s="2"/>
    </row>
    <row r="478">
      <c r="C478" s="1"/>
      <c r="E478" s="2"/>
      <c r="F478" s="2"/>
    </row>
    <row r="479">
      <c r="C479" s="1"/>
      <c r="E479" s="2"/>
      <c r="F479" s="2"/>
    </row>
    <row r="480">
      <c r="C480" s="1"/>
      <c r="E480" s="2"/>
      <c r="F480" s="2"/>
    </row>
    <row r="481">
      <c r="C481" s="1"/>
      <c r="E481" s="2"/>
      <c r="F481" s="2"/>
    </row>
    <row r="482">
      <c r="C482" s="1"/>
      <c r="E482" s="2"/>
      <c r="F482" s="2"/>
    </row>
    <row r="483">
      <c r="C483" s="1"/>
      <c r="E483" s="2"/>
      <c r="F483" s="2"/>
    </row>
    <row r="484">
      <c r="C484" s="1"/>
      <c r="E484" s="2"/>
      <c r="F484" s="2"/>
    </row>
    <row r="485">
      <c r="C485" s="1"/>
      <c r="E485" s="2"/>
      <c r="F485" s="2"/>
    </row>
    <row r="486">
      <c r="C486" s="1"/>
      <c r="E486" s="2"/>
      <c r="F486" s="2"/>
    </row>
    <row r="487">
      <c r="C487" s="1"/>
      <c r="E487" s="2"/>
      <c r="F487" s="2"/>
    </row>
    <row r="488">
      <c r="C488" s="1"/>
      <c r="E488" s="2"/>
      <c r="F488" s="2"/>
    </row>
    <row r="489">
      <c r="C489" s="1"/>
      <c r="E489" s="2"/>
      <c r="F489" s="2"/>
    </row>
    <row r="490">
      <c r="C490" s="1"/>
      <c r="E490" s="2"/>
      <c r="F490" s="2"/>
    </row>
    <row r="491">
      <c r="C491" s="1"/>
      <c r="E491" s="2"/>
      <c r="F491" s="2"/>
    </row>
    <row r="492">
      <c r="C492" s="1"/>
      <c r="E492" s="2"/>
      <c r="F492" s="2"/>
    </row>
    <row r="493">
      <c r="C493" s="1"/>
      <c r="E493" s="2"/>
      <c r="F493" s="2"/>
    </row>
    <row r="494">
      <c r="C494" s="1"/>
      <c r="E494" s="2"/>
      <c r="F494" s="2"/>
    </row>
    <row r="495">
      <c r="C495" s="1"/>
      <c r="E495" s="2"/>
      <c r="F495" s="2"/>
    </row>
    <row r="496">
      <c r="C496" s="1"/>
      <c r="E496" s="2"/>
      <c r="F496" s="2"/>
    </row>
    <row r="497">
      <c r="C497" s="1"/>
      <c r="E497" s="2"/>
      <c r="F497" s="2"/>
    </row>
    <row r="498">
      <c r="C498" s="1"/>
      <c r="E498" s="2"/>
      <c r="F498" s="2"/>
    </row>
    <row r="499">
      <c r="C499" s="1"/>
      <c r="E499" s="2"/>
      <c r="F499" s="2"/>
    </row>
    <row r="500">
      <c r="C500" s="1"/>
      <c r="E500" s="2"/>
      <c r="F500" s="2"/>
    </row>
    <row r="501">
      <c r="C501" s="1"/>
      <c r="E501" s="2"/>
      <c r="F501" s="2"/>
    </row>
    <row r="502">
      <c r="C502" s="1"/>
      <c r="E502" s="2"/>
      <c r="F502" s="2"/>
    </row>
    <row r="503">
      <c r="C503" s="1"/>
      <c r="E503" s="2"/>
      <c r="F503" s="2"/>
    </row>
    <row r="504">
      <c r="C504" s="1"/>
      <c r="E504" s="2"/>
      <c r="F504" s="2"/>
    </row>
    <row r="505">
      <c r="C505" s="1"/>
      <c r="E505" s="2"/>
      <c r="F505" s="2"/>
    </row>
    <row r="506">
      <c r="C506" s="1"/>
      <c r="E506" s="2"/>
      <c r="F506" s="2"/>
    </row>
    <row r="507">
      <c r="C507" s="1"/>
      <c r="E507" s="2"/>
      <c r="F507" s="2"/>
    </row>
    <row r="508">
      <c r="C508" s="1"/>
      <c r="E508" s="2"/>
      <c r="F508" s="2"/>
    </row>
    <row r="509">
      <c r="C509" s="1"/>
      <c r="E509" s="2"/>
      <c r="F509" s="2"/>
    </row>
    <row r="510">
      <c r="C510" s="1"/>
      <c r="E510" s="2"/>
      <c r="F510" s="2"/>
    </row>
    <row r="511">
      <c r="C511" s="1"/>
      <c r="E511" s="2"/>
      <c r="F511" s="2"/>
    </row>
    <row r="512">
      <c r="C512" s="1"/>
      <c r="E512" s="2"/>
      <c r="F512" s="2"/>
    </row>
    <row r="513">
      <c r="C513" s="1"/>
      <c r="E513" s="2"/>
      <c r="F513" s="2"/>
    </row>
    <row r="514">
      <c r="C514" s="1"/>
      <c r="E514" s="2"/>
      <c r="F514" s="2"/>
    </row>
    <row r="515">
      <c r="C515" s="1"/>
      <c r="E515" s="2"/>
      <c r="F515" s="2"/>
    </row>
    <row r="516">
      <c r="C516" s="1"/>
      <c r="E516" s="2"/>
      <c r="F516" s="2"/>
    </row>
    <row r="517">
      <c r="C517" s="1"/>
      <c r="E517" s="2"/>
      <c r="F517" s="2"/>
    </row>
    <row r="518">
      <c r="C518" s="1"/>
      <c r="E518" s="2"/>
      <c r="F518" s="2"/>
    </row>
    <row r="519">
      <c r="C519" s="1"/>
      <c r="E519" s="2"/>
      <c r="F519" s="2"/>
    </row>
    <row r="520">
      <c r="C520" s="1"/>
      <c r="E520" s="2"/>
      <c r="F520" s="2"/>
    </row>
    <row r="521">
      <c r="C521" s="1"/>
      <c r="E521" s="2"/>
      <c r="F521" s="2"/>
    </row>
    <row r="522">
      <c r="C522" s="1"/>
      <c r="E522" s="2"/>
      <c r="F522" s="2"/>
    </row>
    <row r="523">
      <c r="C523" s="1"/>
      <c r="E523" s="2"/>
      <c r="F523" s="2"/>
    </row>
    <row r="524">
      <c r="C524" s="1"/>
      <c r="E524" s="2"/>
      <c r="F524" s="2"/>
    </row>
    <row r="525">
      <c r="C525" s="1"/>
      <c r="E525" s="2"/>
      <c r="F525" s="2"/>
    </row>
    <row r="526">
      <c r="C526" s="1"/>
      <c r="E526" s="2"/>
      <c r="F526" s="2"/>
    </row>
    <row r="527">
      <c r="C527" s="1"/>
      <c r="E527" s="2"/>
      <c r="F527" s="2"/>
    </row>
    <row r="528">
      <c r="C528" s="1"/>
      <c r="E528" s="2"/>
      <c r="F528" s="2"/>
    </row>
    <row r="529">
      <c r="C529" s="1"/>
      <c r="E529" s="2"/>
      <c r="F529" s="2"/>
    </row>
    <row r="530">
      <c r="C530" s="1"/>
      <c r="E530" s="2"/>
      <c r="F530" s="2"/>
    </row>
    <row r="531">
      <c r="C531" s="1"/>
      <c r="E531" s="2"/>
      <c r="F531" s="2"/>
    </row>
    <row r="532">
      <c r="C532" s="1"/>
      <c r="E532" s="2"/>
      <c r="F532" s="2"/>
    </row>
    <row r="533">
      <c r="C533" s="1"/>
      <c r="E533" s="2"/>
      <c r="F533" s="2"/>
    </row>
    <row r="534">
      <c r="C534" s="1"/>
      <c r="E534" s="2"/>
      <c r="F534" s="2"/>
    </row>
    <row r="535">
      <c r="C535" s="1"/>
      <c r="E535" s="2"/>
      <c r="F535" s="2"/>
    </row>
    <row r="536">
      <c r="C536" s="1"/>
      <c r="E536" s="2"/>
      <c r="F536" s="2"/>
    </row>
    <row r="537">
      <c r="C537" s="1"/>
      <c r="E537" s="2"/>
      <c r="F537" s="2"/>
    </row>
    <row r="538">
      <c r="C538" s="1"/>
      <c r="E538" s="2"/>
      <c r="F538" s="2"/>
    </row>
    <row r="539">
      <c r="C539" s="1"/>
      <c r="E539" s="2"/>
      <c r="F539" s="2"/>
    </row>
    <row r="540">
      <c r="C540" s="1"/>
      <c r="E540" s="2"/>
      <c r="F540" s="2"/>
    </row>
    <row r="541">
      <c r="C541" s="1"/>
      <c r="E541" s="2"/>
      <c r="F541" s="2"/>
    </row>
    <row r="542">
      <c r="C542" s="1"/>
      <c r="E542" s="2"/>
      <c r="F542" s="2"/>
    </row>
    <row r="543">
      <c r="C543" s="1"/>
      <c r="E543" s="2"/>
      <c r="F543" s="2"/>
    </row>
    <row r="544">
      <c r="C544" s="1"/>
      <c r="E544" s="2"/>
      <c r="F544" s="2"/>
    </row>
    <row r="545">
      <c r="C545" s="1"/>
      <c r="E545" s="2"/>
      <c r="F545" s="2"/>
    </row>
    <row r="546">
      <c r="C546" s="1"/>
      <c r="E546" s="2"/>
      <c r="F546" s="2"/>
    </row>
    <row r="547">
      <c r="C547" s="1"/>
      <c r="E547" s="2"/>
      <c r="F547" s="2"/>
    </row>
    <row r="548">
      <c r="C548" s="1"/>
      <c r="E548" s="2"/>
      <c r="F548" s="2"/>
    </row>
    <row r="549">
      <c r="C549" s="1"/>
      <c r="E549" s="2"/>
      <c r="F549" s="2"/>
    </row>
    <row r="550">
      <c r="C550" s="1"/>
      <c r="E550" s="2"/>
      <c r="F550" s="2"/>
    </row>
    <row r="551">
      <c r="C551" s="1"/>
      <c r="E551" s="2"/>
      <c r="F551" s="2"/>
    </row>
    <row r="552">
      <c r="C552" s="1"/>
      <c r="E552" s="2"/>
      <c r="F552" s="2"/>
    </row>
    <row r="553">
      <c r="C553" s="1"/>
      <c r="E553" s="2"/>
      <c r="F553" s="2"/>
    </row>
    <row r="554">
      <c r="C554" s="1"/>
      <c r="E554" s="2"/>
      <c r="F554" s="2"/>
    </row>
    <row r="555">
      <c r="C555" s="1"/>
      <c r="E555" s="2"/>
      <c r="F555" s="2"/>
    </row>
    <row r="556">
      <c r="C556" s="1"/>
      <c r="E556" s="2"/>
      <c r="F556" s="2"/>
    </row>
    <row r="557">
      <c r="C557" s="1"/>
      <c r="E557" s="2"/>
      <c r="F557" s="2"/>
    </row>
    <row r="558">
      <c r="C558" s="1"/>
      <c r="E558" s="2"/>
      <c r="F558" s="2"/>
    </row>
    <row r="559">
      <c r="C559" s="1"/>
      <c r="E559" s="2"/>
      <c r="F559" s="2"/>
    </row>
    <row r="560">
      <c r="C560" s="1"/>
      <c r="E560" s="2"/>
      <c r="F560" s="2"/>
    </row>
    <row r="561">
      <c r="C561" s="1"/>
      <c r="E561" s="2"/>
      <c r="F561" s="2"/>
    </row>
    <row r="562">
      <c r="C562" s="1"/>
      <c r="E562" s="2"/>
      <c r="F562" s="2"/>
    </row>
    <row r="563">
      <c r="C563" s="1"/>
      <c r="E563" s="2"/>
      <c r="F563" s="2"/>
    </row>
    <row r="564">
      <c r="C564" s="1"/>
      <c r="E564" s="2"/>
      <c r="F564" s="2"/>
    </row>
    <row r="565">
      <c r="C565" s="1"/>
      <c r="E565" s="2"/>
      <c r="F565" s="2"/>
    </row>
    <row r="566">
      <c r="C566" s="1"/>
      <c r="E566" s="2"/>
      <c r="F566" s="2"/>
    </row>
    <row r="567">
      <c r="C567" s="1"/>
      <c r="E567" s="2"/>
      <c r="F567" s="2"/>
    </row>
    <row r="568">
      <c r="C568" s="1"/>
      <c r="E568" s="2"/>
      <c r="F568" s="2"/>
    </row>
    <row r="569">
      <c r="C569" s="1"/>
      <c r="E569" s="2"/>
      <c r="F569" s="2"/>
    </row>
    <row r="570">
      <c r="C570" s="1"/>
      <c r="E570" s="2"/>
      <c r="F570" s="2"/>
    </row>
    <row r="571">
      <c r="C571" s="1"/>
      <c r="E571" s="2"/>
      <c r="F571" s="2"/>
    </row>
    <row r="572">
      <c r="C572" s="1"/>
      <c r="E572" s="2"/>
      <c r="F572" s="2"/>
    </row>
    <row r="573">
      <c r="C573" s="1"/>
      <c r="E573" s="2"/>
      <c r="F573" s="2"/>
    </row>
    <row r="574">
      <c r="C574" s="1"/>
      <c r="E574" s="2"/>
      <c r="F574" s="2"/>
    </row>
    <row r="575">
      <c r="C575" s="1"/>
      <c r="E575" s="2"/>
      <c r="F575" s="2"/>
    </row>
    <row r="576">
      <c r="C576" s="1"/>
      <c r="E576" s="2"/>
      <c r="F576" s="2"/>
    </row>
    <row r="577">
      <c r="C577" s="1"/>
      <c r="E577" s="2"/>
      <c r="F577" s="2"/>
    </row>
    <row r="578">
      <c r="C578" s="1"/>
      <c r="E578" s="2"/>
      <c r="F578" s="2"/>
    </row>
    <row r="579">
      <c r="C579" s="1"/>
      <c r="E579" s="2"/>
      <c r="F579" s="2"/>
    </row>
    <row r="580">
      <c r="C580" s="1"/>
      <c r="E580" s="2"/>
      <c r="F580" s="2"/>
    </row>
    <row r="581">
      <c r="C581" s="1"/>
      <c r="E581" s="2"/>
      <c r="F581" s="2"/>
    </row>
    <row r="582">
      <c r="C582" s="1"/>
      <c r="E582" s="2"/>
      <c r="F582" s="2"/>
    </row>
    <row r="583">
      <c r="C583" s="1"/>
      <c r="E583" s="2"/>
      <c r="F583" s="2"/>
    </row>
    <row r="584">
      <c r="C584" s="1"/>
      <c r="E584" s="2"/>
      <c r="F584" s="2"/>
    </row>
    <row r="585">
      <c r="C585" s="1"/>
      <c r="E585" s="2"/>
      <c r="F585" s="2"/>
    </row>
    <row r="586">
      <c r="C586" s="1"/>
      <c r="E586" s="2"/>
      <c r="F586" s="2"/>
    </row>
    <row r="587">
      <c r="C587" s="1"/>
      <c r="E587" s="2"/>
      <c r="F587" s="2"/>
    </row>
    <row r="588">
      <c r="C588" s="1"/>
      <c r="E588" s="2"/>
      <c r="F588" s="2"/>
    </row>
    <row r="589">
      <c r="C589" s="1"/>
      <c r="E589" s="2"/>
      <c r="F589" s="2"/>
    </row>
    <row r="590">
      <c r="C590" s="1"/>
      <c r="E590" s="2"/>
      <c r="F590" s="2"/>
    </row>
    <row r="591">
      <c r="C591" s="1"/>
      <c r="E591" s="2"/>
      <c r="F591" s="2"/>
    </row>
    <row r="592">
      <c r="C592" s="1"/>
      <c r="E592" s="2"/>
      <c r="F592" s="2"/>
    </row>
    <row r="593">
      <c r="C593" s="1"/>
      <c r="E593" s="2"/>
      <c r="F593" s="2"/>
    </row>
    <row r="594">
      <c r="C594" s="1"/>
      <c r="E594" s="2"/>
      <c r="F594" s="2"/>
    </row>
    <row r="595">
      <c r="C595" s="1"/>
      <c r="E595" s="2"/>
      <c r="F595" s="2"/>
    </row>
    <row r="596">
      <c r="C596" s="1"/>
      <c r="E596" s="2"/>
      <c r="F596" s="2"/>
    </row>
    <row r="597">
      <c r="C597" s="1"/>
      <c r="E597" s="2"/>
      <c r="F597" s="2"/>
    </row>
    <row r="598">
      <c r="C598" s="1"/>
      <c r="E598" s="2"/>
      <c r="F598" s="2"/>
    </row>
    <row r="599">
      <c r="C599" s="1"/>
      <c r="E599" s="2"/>
      <c r="F599" s="2"/>
    </row>
    <row r="600">
      <c r="C600" s="1"/>
      <c r="E600" s="2"/>
      <c r="F600" s="2"/>
    </row>
    <row r="601">
      <c r="C601" s="1"/>
      <c r="E601" s="2"/>
      <c r="F601" s="2"/>
    </row>
    <row r="602">
      <c r="C602" s="1"/>
      <c r="E602" s="2"/>
      <c r="F602" s="2"/>
    </row>
    <row r="603">
      <c r="C603" s="1"/>
      <c r="E603" s="2"/>
      <c r="F603" s="2"/>
    </row>
    <row r="604">
      <c r="C604" s="1"/>
      <c r="E604" s="2"/>
      <c r="F604" s="2"/>
    </row>
    <row r="605">
      <c r="C605" s="1"/>
      <c r="E605" s="2"/>
      <c r="F605" s="2"/>
    </row>
    <row r="606">
      <c r="C606" s="1"/>
      <c r="E606" s="2"/>
      <c r="F606" s="2"/>
    </row>
    <row r="607">
      <c r="C607" s="1"/>
      <c r="E607" s="2"/>
      <c r="F607" s="2"/>
    </row>
    <row r="608">
      <c r="C608" s="1"/>
      <c r="E608" s="2"/>
      <c r="F608" s="2"/>
    </row>
    <row r="609">
      <c r="C609" s="1"/>
      <c r="E609" s="2"/>
      <c r="F609" s="2"/>
    </row>
    <row r="610">
      <c r="C610" s="1"/>
      <c r="E610" s="2"/>
      <c r="F610" s="2"/>
    </row>
    <row r="611">
      <c r="C611" s="1"/>
      <c r="E611" s="2"/>
      <c r="F611" s="2"/>
    </row>
    <row r="612">
      <c r="C612" s="1"/>
      <c r="E612" s="2"/>
      <c r="F612" s="2"/>
    </row>
    <row r="613">
      <c r="C613" s="1"/>
      <c r="E613" s="2"/>
      <c r="F613" s="2"/>
    </row>
    <row r="614">
      <c r="C614" s="1"/>
      <c r="E614" s="2"/>
      <c r="F614" s="2"/>
    </row>
    <row r="615">
      <c r="C615" s="1"/>
      <c r="E615" s="2"/>
      <c r="F615" s="2"/>
    </row>
    <row r="616">
      <c r="C616" s="1"/>
      <c r="E616" s="2"/>
      <c r="F616" s="2"/>
    </row>
    <row r="617">
      <c r="C617" s="1"/>
      <c r="E617" s="2"/>
      <c r="F617" s="2"/>
    </row>
    <row r="618">
      <c r="C618" s="1"/>
      <c r="E618" s="2"/>
      <c r="F618" s="2"/>
    </row>
    <row r="619">
      <c r="C619" s="1"/>
      <c r="E619" s="2"/>
      <c r="F619" s="2"/>
    </row>
    <row r="620">
      <c r="C620" s="1"/>
      <c r="E620" s="2"/>
      <c r="F620" s="2"/>
    </row>
    <row r="621">
      <c r="C621" s="1"/>
      <c r="E621" s="2"/>
      <c r="F621" s="2"/>
    </row>
    <row r="622">
      <c r="C622" s="1"/>
      <c r="E622" s="2"/>
      <c r="F622" s="2"/>
    </row>
    <row r="623">
      <c r="C623" s="1"/>
      <c r="E623" s="2"/>
      <c r="F623" s="2"/>
    </row>
    <row r="624">
      <c r="C624" s="1"/>
      <c r="E624" s="2"/>
      <c r="F624" s="2"/>
    </row>
    <row r="625">
      <c r="C625" s="1"/>
      <c r="E625" s="2"/>
      <c r="F625" s="2"/>
    </row>
    <row r="626">
      <c r="C626" s="1"/>
      <c r="E626" s="2"/>
      <c r="F626" s="2"/>
    </row>
    <row r="627">
      <c r="C627" s="1"/>
      <c r="E627" s="2"/>
      <c r="F627" s="2"/>
    </row>
    <row r="628">
      <c r="C628" s="1"/>
      <c r="E628" s="2"/>
      <c r="F628" s="2"/>
    </row>
    <row r="629">
      <c r="C629" s="1"/>
      <c r="E629" s="2"/>
      <c r="F629" s="2"/>
    </row>
    <row r="630">
      <c r="C630" s="1"/>
      <c r="E630" s="2"/>
      <c r="F630" s="2"/>
    </row>
    <row r="631">
      <c r="C631" s="1"/>
      <c r="E631" s="2"/>
      <c r="F631" s="2"/>
    </row>
    <row r="632">
      <c r="C632" s="1"/>
      <c r="E632" s="2"/>
      <c r="F632" s="2"/>
    </row>
    <row r="633">
      <c r="C633" s="1"/>
      <c r="E633" s="2"/>
      <c r="F633" s="2"/>
    </row>
    <row r="634">
      <c r="C634" s="1"/>
      <c r="E634" s="2"/>
      <c r="F634" s="2"/>
    </row>
    <row r="635">
      <c r="C635" s="1"/>
      <c r="E635" s="2"/>
      <c r="F635" s="2"/>
    </row>
    <row r="636">
      <c r="C636" s="1"/>
      <c r="E636" s="2"/>
      <c r="F636" s="2"/>
    </row>
    <row r="637">
      <c r="C637" s="1"/>
      <c r="E637" s="2"/>
      <c r="F637" s="2"/>
    </row>
    <row r="638">
      <c r="C638" s="1"/>
      <c r="E638" s="2"/>
      <c r="F638" s="2"/>
    </row>
    <row r="639">
      <c r="C639" s="1"/>
      <c r="E639" s="2"/>
      <c r="F639" s="2"/>
    </row>
    <row r="640">
      <c r="C640" s="1"/>
      <c r="E640" s="2"/>
      <c r="F640" s="2"/>
    </row>
    <row r="641">
      <c r="C641" s="1"/>
      <c r="E641" s="2"/>
      <c r="F641" s="2"/>
    </row>
    <row r="642">
      <c r="C642" s="1"/>
      <c r="E642" s="2"/>
      <c r="F642" s="2"/>
    </row>
    <row r="643">
      <c r="C643" s="1"/>
      <c r="E643" s="2"/>
      <c r="F643" s="2"/>
    </row>
    <row r="644">
      <c r="C644" s="1"/>
      <c r="E644" s="2"/>
      <c r="F644" s="2"/>
    </row>
    <row r="645">
      <c r="C645" s="1"/>
      <c r="E645" s="2"/>
      <c r="F645" s="2"/>
    </row>
    <row r="646">
      <c r="C646" s="1"/>
      <c r="E646" s="2"/>
      <c r="F646" s="2"/>
    </row>
    <row r="647">
      <c r="C647" s="1"/>
      <c r="E647" s="2"/>
      <c r="F647" s="2"/>
    </row>
    <row r="648">
      <c r="C648" s="1"/>
      <c r="E648" s="2"/>
      <c r="F648" s="2"/>
    </row>
    <row r="649">
      <c r="C649" s="1"/>
      <c r="E649" s="2"/>
      <c r="F649" s="2"/>
    </row>
    <row r="650">
      <c r="C650" s="1"/>
      <c r="E650" s="2"/>
      <c r="F650" s="2"/>
    </row>
    <row r="651">
      <c r="C651" s="1"/>
      <c r="E651" s="2"/>
      <c r="F651" s="2"/>
    </row>
    <row r="652">
      <c r="C652" s="1"/>
      <c r="E652" s="2"/>
      <c r="F652" s="2"/>
    </row>
    <row r="653">
      <c r="C653" s="1"/>
      <c r="E653" s="2"/>
      <c r="F653" s="2"/>
    </row>
    <row r="654">
      <c r="C654" s="1"/>
      <c r="E654" s="2"/>
      <c r="F654" s="2"/>
    </row>
    <row r="655">
      <c r="C655" s="1"/>
      <c r="E655" s="2"/>
      <c r="F655" s="2"/>
    </row>
    <row r="656">
      <c r="C656" s="1"/>
      <c r="E656" s="2"/>
      <c r="F656" s="2"/>
    </row>
    <row r="657">
      <c r="C657" s="1"/>
      <c r="E657" s="2"/>
      <c r="F657" s="2"/>
    </row>
    <row r="658">
      <c r="C658" s="1"/>
      <c r="E658" s="2"/>
      <c r="F658" s="2"/>
    </row>
    <row r="659">
      <c r="C659" s="1"/>
      <c r="E659" s="2"/>
      <c r="F659" s="2"/>
    </row>
    <row r="660">
      <c r="C660" s="1"/>
      <c r="E660" s="2"/>
      <c r="F660" s="2"/>
    </row>
    <row r="661">
      <c r="C661" s="1"/>
      <c r="E661" s="2"/>
      <c r="F661" s="2"/>
    </row>
    <row r="662">
      <c r="C662" s="1"/>
      <c r="E662" s="2"/>
      <c r="F662" s="2"/>
    </row>
    <row r="663">
      <c r="C663" s="1"/>
      <c r="E663" s="2"/>
      <c r="F663" s="2"/>
    </row>
    <row r="664">
      <c r="C664" s="1"/>
      <c r="E664" s="2"/>
      <c r="F664" s="2"/>
    </row>
    <row r="665">
      <c r="C665" s="1"/>
      <c r="E665" s="2"/>
      <c r="F665" s="2"/>
    </row>
    <row r="666">
      <c r="C666" s="1"/>
      <c r="E666" s="2"/>
      <c r="F666" s="2"/>
    </row>
    <row r="667">
      <c r="C667" s="1"/>
      <c r="E667" s="2"/>
      <c r="F667" s="2"/>
    </row>
    <row r="668">
      <c r="C668" s="1"/>
      <c r="E668" s="2"/>
      <c r="F668" s="2"/>
    </row>
    <row r="669">
      <c r="C669" s="1"/>
      <c r="E669" s="2"/>
      <c r="F669" s="2"/>
    </row>
    <row r="670">
      <c r="C670" s="1"/>
      <c r="E670" s="2"/>
      <c r="F670" s="2"/>
    </row>
    <row r="671">
      <c r="C671" s="1"/>
      <c r="E671" s="2"/>
      <c r="F671" s="2"/>
    </row>
    <row r="672">
      <c r="C672" s="1"/>
      <c r="E672" s="2"/>
      <c r="F672" s="2"/>
    </row>
    <row r="673">
      <c r="C673" s="1"/>
      <c r="E673" s="2"/>
      <c r="F673" s="2"/>
    </row>
    <row r="674">
      <c r="C674" s="1"/>
      <c r="E674" s="2"/>
      <c r="F674" s="2"/>
    </row>
    <row r="675">
      <c r="C675" s="1"/>
      <c r="E675" s="2"/>
      <c r="F675" s="2"/>
    </row>
    <row r="676">
      <c r="C676" s="1"/>
      <c r="E676" s="2"/>
      <c r="F676" s="2"/>
    </row>
    <row r="677">
      <c r="C677" s="1"/>
      <c r="E677" s="2"/>
      <c r="F677" s="2"/>
    </row>
    <row r="678">
      <c r="C678" s="1"/>
      <c r="E678" s="2"/>
      <c r="F678" s="2"/>
    </row>
    <row r="679">
      <c r="C679" s="1"/>
      <c r="E679" s="2"/>
      <c r="F679" s="2"/>
    </row>
    <row r="680">
      <c r="C680" s="1"/>
      <c r="E680" s="2"/>
      <c r="F680" s="2"/>
    </row>
    <row r="681">
      <c r="C681" s="1"/>
      <c r="E681" s="2"/>
      <c r="F681" s="2"/>
    </row>
    <row r="682">
      <c r="C682" s="1"/>
      <c r="E682" s="2"/>
      <c r="F682" s="2"/>
    </row>
    <row r="683">
      <c r="C683" s="1"/>
      <c r="E683" s="2"/>
      <c r="F683" s="2"/>
    </row>
    <row r="684">
      <c r="C684" s="1"/>
      <c r="E684" s="2"/>
      <c r="F684" s="2"/>
    </row>
    <row r="685">
      <c r="C685" s="1"/>
      <c r="E685" s="2"/>
      <c r="F685" s="2"/>
    </row>
    <row r="686">
      <c r="C686" s="1"/>
      <c r="E686" s="2"/>
      <c r="F686" s="2"/>
    </row>
    <row r="687">
      <c r="C687" s="1"/>
      <c r="E687" s="2"/>
      <c r="F687" s="2"/>
    </row>
    <row r="688">
      <c r="C688" s="1"/>
      <c r="E688" s="2"/>
      <c r="F688" s="2"/>
    </row>
    <row r="689">
      <c r="C689" s="1"/>
      <c r="E689" s="2"/>
      <c r="F689" s="2"/>
    </row>
    <row r="690">
      <c r="C690" s="1"/>
      <c r="E690" s="2"/>
      <c r="F690" s="2"/>
    </row>
    <row r="691">
      <c r="C691" s="1"/>
      <c r="E691" s="2"/>
      <c r="F691" s="2"/>
    </row>
    <row r="692">
      <c r="C692" s="1"/>
      <c r="E692" s="2"/>
      <c r="F692" s="2"/>
    </row>
    <row r="693">
      <c r="C693" s="1"/>
      <c r="E693" s="2"/>
      <c r="F693" s="2"/>
    </row>
    <row r="694">
      <c r="C694" s="1"/>
      <c r="E694" s="2"/>
      <c r="F694" s="2"/>
    </row>
    <row r="695">
      <c r="C695" s="1"/>
      <c r="E695" s="2"/>
      <c r="F695" s="2"/>
    </row>
    <row r="696">
      <c r="C696" s="1"/>
      <c r="E696" s="2"/>
      <c r="F696" s="2"/>
    </row>
    <row r="697">
      <c r="C697" s="1"/>
      <c r="E697" s="2"/>
      <c r="F697" s="2"/>
    </row>
    <row r="698">
      <c r="C698" s="1"/>
      <c r="E698" s="2"/>
      <c r="F698" s="2"/>
    </row>
    <row r="699">
      <c r="C699" s="1"/>
      <c r="E699" s="2"/>
      <c r="F699" s="2"/>
    </row>
    <row r="700">
      <c r="C700" s="1"/>
      <c r="E700" s="2"/>
      <c r="F700" s="2"/>
    </row>
    <row r="701">
      <c r="C701" s="1"/>
      <c r="E701" s="2"/>
      <c r="F701" s="2"/>
    </row>
    <row r="702">
      <c r="C702" s="1"/>
      <c r="E702" s="2"/>
      <c r="F702" s="2"/>
    </row>
    <row r="703">
      <c r="C703" s="1"/>
      <c r="E703" s="2"/>
      <c r="F703" s="2"/>
    </row>
    <row r="704">
      <c r="C704" s="1"/>
      <c r="E704" s="2"/>
      <c r="F704" s="2"/>
    </row>
    <row r="705">
      <c r="C705" s="1"/>
      <c r="E705" s="2"/>
      <c r="F705" s="2"/>
    </row>
    <row r="706">
      <c r="C706" s="1"/>
      <c r="E706" s="2"/>
      <c r="F706" s="2"/>
    </row>
    <row r="707">
      <c r="C707" s="1"/>
      <c r="E707" s="2"/>
      <c r="F707" s="2"/>
    </row>
    <row r="708">
      <c r="C708" s="1"/>
      <c r="E708" s="2"/>
      <c r="F708" s="2"/>
    </row>
    <row r="709">
      <c r="C709" s="1"/>
      <c r="E709" s="2"/>
      <c r="F709" s="2"/>
    </row>
    <row r="710">
      <c r="C710" s="1"/>
      <c r="E710" s="2"/>
      <c r="F710" s="2"/>
    </row>
    <row r="711">
      <c r="C711" s="1"/>
      <c r="E711" s="2"/>
      <c r="F711" s="2"/>
    </row>
    <row r="712">
      <c r="C712" s="1"/>
      <c r="E712" s="2"/>
      <c r="F712" s="2"/>
    </row>
    <row r="713">
      <c r="C713" s="1"/>
      <c r="E713" s="2"/>
      <c r="F713" s="2"/>
    </row>
    <row r="714">
      <c r="C714" s="1"/>
      <c r="E714" s="2"/>
      <c r="F714" s="2"/>
    </row>
    <row r="715">
      <c r="C715" s="1"/>
      <c r="E715" s="2"/>
      <c r="F715" s="2"/>
    </row>
    <row r="716">
      <c r="C716" s="1"/>
      <c r="E716" s="2"/>
      <c r="F716" s="2"/>
    </row>
    <row r="717">
      <c r="C717" s="1"/>
      <c r="E717" s="2"/>
      <c r="F717" s="2"/>
    </row>
    <row r="718">
      <c r="C718" s="1"/>
      <c r="E718" s="2"/>
      <c r="F718" s="2"/>
    </row>
    <row r="719">
      <c r="C719" s="1"/>
      <c r="E719" s="2"/>
      <c r="F719" s="2"/>
    </row>
    <row r="720">
      <c r="C720" s="1"/>
      <c r="E720" s="2"/>
      <c r="F720" s="2"/>
    </row>
    <row r="721">
      <c r="C721" s="1"/>
      <c r="E721" s="2"/>
      <c r="F721" s="2"/>
    </row>
    <row r="722">
      <c r="C722" s="1"/>
      <c r="E722" s="2"/>
      <c r="F722" s="2"/>
    </row>
    <row r="723">
      <c r="C723" s="1"/>
      <c r="E723" s="2"/>
      <c r="F723" s="2"/>
    </row>
    <row r="724">
      <c r="C724" s="1"/>
      <c r="E724" s="2"/>
      <c r="F724" s="2"/>
    </row>
    <row r="725">
      <c r="C725" s="1"/>
      <c r="E725" s="2"/>
      <c r="F725" s="2"/>
    </row>
    <row r="726">
      <c r="C726" s="1"/>
      <c r="E726" s="2"/>
      <c r="F726" s="2"/>
    </row>
    <row r="727">
      <c r="C727" s="1"/>
      <c r="E727" s="2"/>
      <c r="F727" s="2"/>
    </row>
    <row r="728">
      <c r="C728" s="1"/>
      <c r="E728" s="2"/>
      <c r="F728" s="2"/>
    </row>
    <row r="729">
      <c r="C729" s="1"/>
      <c r="E729" s="2"/>
      <c r="F729" s="2"/>
    </row>
    <row r="730">
      <c r="C730" s="1"/>
      <c r="E730" s="2"/>
      <c r="F730" s="2"/>
    </row>
    <row r="731">
      <c r="C731" s="1"/>
      <c r="E731" s="2"/>
      <c r="F731" s="2"/>
    </row>
    <row r="732">
      <c r="C732" s="1"/>
      <c r="E732" s="2"/>
      <c r="F732" s="2"/>
    </row>
    <row r="733">
      <c r="C733" s="1"/>
      <c r="E733" s="2"/>
      <c r="F733" s="2"/>
    </row>
    <row r="734">
      <c r="C734" s="1"/>
      <c r="E734" s="2"/>
      <c r="F734" s="2"/>
    </row>
    <row r="735">
      <c r="C735" s="1"/>
      <c r="E735" s="2"/>
      <c r="F735" s="2"/>
    </row>
    <row r="736">
      <c r="C736" s="1"/>
      <c r="E736" s="2"/>
      <c r="F736" s="2"/>
    </row>
    <row r="737">
      <c r="C737" s="1"/>
      <c r="E737" s="2"/>
      <c r="F737" s="2"/>
    </row>
    <row r="738">
      <c r="C738" s="1"/>
      <c r="E738" s="2"/>
      <c r="F738" s="2"/>
    </row>
    <row r="739">
      <c r="C739" s="1"/>
      <c r="E739" s="2"/>
      <c r="F739" s="2"/>
    </row>
    <row r="740">
      <c r="C740" s="1"/>
      <c r="E740" s="2"/>
      <c r="F740" s="2"/>
    </row>
    <row r="741">
      <c r="C741" s="1"/>
      <c r="E741" s="2"/>
      <c r="F741" s="2"/>
    </row>
    <row r="742">
      <c r="C742" s="1"/>
      <c r="E742" s="2"/>
      <c r="F742" s="2"/>
    </row>
    <row r="743">
      <c r="C743" s="1"/>
      <c r="E743" s="2"/>
      <c r="F743" s="2"/>
    </row>
    <row r="744">
      <c r="C744" s="1"/>
      <c r="E744" s="2"/>
      <c r="F744" s="2"/>
    </row>
    <row r="745">
      <c r="C745" s="1"/>
      <c r="E745" s="2"/>
      <c r="F745" s="2"/>
    </row>
    <row r="746">
      <c r="C746" s="1"/>
      <c r="E746" s="2"/>
      <c r="F746" s="2"/>
    </row>
    <row r="747">
      <c r="C747" s="1"/>
      <c r="E747" s="2"/>
      <c r="F747" s="2"/>
    </row>
    <row r="748">
      <c r="C748" s="1"/>
      <c r="E748" s="2"/>
      <c r="F748" s="2"/>
    </row>
    <row r="749">
      <c r="C749" s="1"/>
      <c r="E749" s="2"/>
      <c r="F749" s="2"/>
    </row>
    <row r="750">
      <c r="C750" s="1"/>
      <c r="E750" s="2"/>
      <c r="F750" s="2"/>
    </row>
    <row r="751">
      <c r="C751" s="1"/>
      <c r="E751" s="2"/>
      <c r="F751" s="2"/>
    </row>
    <row r="752">
      <c r="C752" s="1"/>
      <c r="E752" s="2"/>
      <c r="F752" s="2"/>
    </row>
    <row r="753">
      <c r="C753" s="1"/>
      <c r="E753" s="2"/>
      <c r="F753" s="2"/>
    </row>
    <row r="754">
      <c r="C754" s="1"/>
      <c r="E754" s="2"/>
      <c r="F754" s="2"/>
    </row>
    <row r="755">
      <c r="C755" s="1"/>
      <c r="E755" s="2"/>
      <c r="F755" s="2"/>
    </row>
    <row r="756">
      <c r="C756" s="1"/>
      <c r="E756" s="2"/>
      <c r="F756" s="2"/>
    </row>
    <row r="757">
      <c r="C757" s="1"/>
      <c r="E757" s="2"/>
      <c r="F757" s="2"/>
    </row>
    <row r="758">
      <c r="C758" s="1"/>
      <c r="E758" s="2"/>
      <c r="F758" s="2"/>
    </row>
    <row r="759">
      <c r="C759" s="1"/>
      <c r="E759" s="2"/>
      <c r="F759" s="2"/>
    </row>
    <row r="760">
      <c r="C760" s="1"/>
      <c r="E760" s="2"/>
      <c r="F760" s="2"/>
    </row>
    <row r="761">
      <c r="C761" s="1"/>
      <c r="E761" s="2"/>
      <c r="F761" s="2"/>
    </row>
    <row r="762">
      <c r="C762" s="1"/>
      <c r="E762" s="2"/>
      <c r="F762" s="2"/>
    </row>
    <row r="763">
      <c r="C763" s="1"/>
      <c r="E763" s="2"/>
      <c r="F763" s="2"/>
    </row>
    <row r="764">
      <c r="C764" s="1"/>
      <c r="E764" s="2"/>
      <c r="F764" s="2"/>
    </row>
    <row r="765">
      <c r="C765" s="1"/>
      <c r="E765" s="2"/>
      <c r="F765" s="2"/>
    </row>
    <row r="766">
      <c r="C766" s="1"/>
      <c r="E766" s="2"/>
      <c r="F766" s="2"/>
    </row>
    <row r="767">
      <c r="C767" s="1"/>
      <c r="E767" s="2"/>
      <c r="F767" s="2"/>
    </row>
    <row r="768">
      <c r="C768" s="1"/>
      <c r="E768" s="2"/>
      <c r="F768" s="2"/>
    </row>
    <row r="769">
      <c r="C769" s="1"/>
      <c r="E769" s="2"/>
      <c r="F769" s="2"/>
    </row>
    <row r="770">
      <c r="C770" s="1"/>
      <c r="E770" s="2"/>
      <c r="F770" s="2"/>
    </row>
    <row r="771">
      <c r="C771" s="1"/>
      <c r="E771" s="2"/>
      <c r="F771" s="2"/>
    </row>
    <row r="772">
      <c r="C772" s="1"/>
      <c r="E772" s="2"/>
      <c r="F772" s="2"/>
    </row>
    <row r="773">
      <c r="C773" s="1"/>
      <c r="E773" s="2"/>
      <c r="F773" s="2"/>
    </row>
    <row r="774">
      <c r="C774" s="1"/>
      <c r="E774" s="2"/>
      <c r="F774" s="2"/>
    </row>
    <row r="775">
      <c r="C775" s="1"/>
      <c r="E775" s="2"/>
      <c r="F775" s="2"/>
    </row>
    <row r="776">
      <c r="C776" s="1"/>
      <c r="E776" s="2"/>
      <c r="F776" s="2"/>
    </row>
    <row r="777">
      <c r="C777" s="1"/>
      <c r="E777" s="2"/>
      <c r="F777" s="2"/>
    </row>
    <row r="778">
      <c r="C778" s="1"/>
      <c r="E778" s="2"/>
      <c r="F778" s="2"/>
    </row>
    <row r="779">
      <c r="C779" s="1"/>
      <c r="E779" s="2"/>
      <c r="F779" s="2"/>
    </row>
    <row r="780">
      <c r="C780" s="1"/>
      <c r="E780" s="2"/>
      <c r="F780" s="2"/>
    </row>
    <row r="781">
      <c r="C781" s="1"/>
      <c r="E781" s="2"/>
      <c r="F781" s="2"/>
    </row>
    <row r="782">
      <c r="C782" s="1"/>
      <c r="E782" s="2"/>
      <c r="F782" s="2"/>
    </row>
    <row r="783">
      <c r="C783" s="1"/>
      <c r="E783" s="2"/>
      <c r="F783" s="2"/>
    </row>
    <row r="784">
      <c r="C784" s="1"/>
      <c r="E784" s="2"/>
      <c r="F784" s="2"/>
    </row>
    <row r="785">
      <c r="C785" s="1"/>
      <c r="E785" s="2"/>
      <c r="F785" s="2"/>
    </row>
    <row r="786">
      <c r="C786" s="1"/>
      <c r="E786" s="2"/>
      <c r="F786" s="2"/>
    </row>
    <row r="787">
      <c r="C787" s="1"/>
      <c r="E787" s="2"/>
      <c r="F787" s="2"/>
    </row>
    <row r="788">
      <c r="C788" s="1"/>
      <c r="E788" s="2"/>
      <c r="F788" s="2"/>
    </row>
    <row r="789">
      <c r="C789" s="1"/>
      <c r="E789" s="2"/>
      <c r="F789" s="2"/>
    </row>
    <row r="790">
      <c r="C790" s="1"/>
      <c r="E790" s="2"/>
      <c r="F790" s="2"/>
    </row>
    <row r="791">
      <c r="C791" s="1"/>
      <c r="E791" s="2"/>
      <c r="F791" s="2"/>
    </row>
    <row r="792">
      <c r="C792" s="1"/>
      <c r="E792" s="2"/>
      <c r="F792" s="2"/>
    </row>
    <row r="793">
      <c r="C793" s="1"/>
      <c r="E793" s="2"/>
      <c r="F793" s="2"/>
    </row>
    <row r="794">
      <c r="C794" s="1"/>
      <c r="E794" s="2"/>
      <c r="F794" s="2"/>
    </row>
    <row r="795">
      <c r="C795" s="1"/>
      <c r="E795" s="2"/>
      <c r="F795" s="2"/>
    </row>
    <row r="796">
      <c r="C796" s="1"/>
      <c r="E796" s="2"/>
      <c r="F796" s="2"/>
    </row>
    <row r="797">
      <c r="C797" s="1"/>
      <c r="E797" s="2"/>
      <c r="F797" s="2"/>
    </row>
    <row r="798">
      <c r="C798" s="1"/>
      <c r="E798" s="2"/>
      <c r="F798" s="2"/>
    </row>
    <row r="799">
      <c r="C799" s="1"/>
      <c r="E799" s="2"/>
      <c r="F799" s="2"/>
    </row>
    <row r="800">
      <c r="C800" s="1"/>
      <c r="E800" s="2"/>
      <c r="F800" s="2"/>
    </row>
    <row r="801">
      <c r="C801" s="1"/>
      <c r="E801" s="2"/>
      <c r="F801" s="2"/>
    </row>
    <row r="802">
      <c r="C802" s="1"/>
      <c r="E802" s="2"/>
      <c r="F802" s="2"/>
    </row>
    <row r="803">
      <c r="C803" s="1"/>
      <c r="E803" s="2"/>
      <c r="F803" s="2"/>
    </row>
    <row r="804">
      <c r="C804" s="1"/>
      <c r="E804" s="2"/>
      <c r="F804" s="2"/>
    </row>
    <row r="805">
      <c r="C805" s="1"/>
      <c r="E805" s="2"/>
      <c r="F805" s="2"/>
    </row>
    <row r="806">
      <c r="C806" s="1"/>
      <c r="E806" s="2"/>
      <c r="F806" s="2"/>
    </row>
    <row r="807">
      <c r="C807" s="1"/>
      <c r="E807" s="2"/>
      <c r="F807" s="2"/>
    </row>
    <row r="808">
      <c r="C808" s="1"/>
      <c r="E808" s="2"/>
      <c r="F808" s="2"/>
    </row>
    <row r="809">
      <c r="C809" s="1"/>
      <c r="E809" s="2"/>
      <c r="F809" s="2"/>
    </row>
    <row r="810">
      <c r="C810" s="1"/>
      <c r="E810" s="2"/>
      <c r="F810" s="2"/>
    </row>
    <row r="811">
      <c r="C811" s="1"/>
      <c r="E811" s="2"/>
      <c r="F811" s="2"/>
    </row>
    <row r="812">
      <c r="C812" s="1"/>
      <c r="E812" s="2"/>
      <c r="F812" s="2"/>
    </row>
    <row r="813">
      <c r="C813" s="1"/>
      <c r="E813" s="2"/>
      <c r="F813" s="2"/>
    </row>
    <row r="814">
      <c r="C814" s="1"/>
      <c r="E814" s="2"/>
      <c r="F814" s="2"/>
    </row>
    <row r="815">
      <c r="C815" s="1"/>
      <c r="E815" s="2"/>
      <c r="F815" s="2"/>
    </row>
    <row r="816">
      <c r="C816" s="1"/>
      <c r="E816" s="2"/>
      <c r="F816" s="2"/>
    </row>
    <row r="817">
      <c r="C817" s="1"/>
      <c r="E817" s="2"/>
      <c r="F817" s="2"/>
    </row>
    <row r="818">
      <c r="C818" s="1"/>
      <c r="E818" s="2"/>
      <c r="F818" s="2"/>
    </row>
    <row r="819">
      <c r="C819" s="1"/>
      <c r="E819" s="2"/>
      <c r="F819" s="2"/>
    </row>
    <row r="820">
      <c r="C820" s="1"/>
      <c r="E820" s="2"/>
      <c r="F820" s="2"/>
    </row>
    <row r="821">
      <c r="C821" s="1"/>
      <c r="E821" s="2"/>
      <c r="F821" s="2"/>
    </row>
    <row r="822">
      <c r="C822" s="1"/>
      <c r="E822" s="2"/>
      <c r="F822" s="2"/>
    </row>
    <row r="823">
      <c r="C823" s="1"/>
      <c r="E823" s="2"/>
      <c r="F823" s="2"/>
    </row>
    <row r="824">
      <c r="C824" s="1"/>
      <c r="E824" s="2"/>
      <c r="F824" s="2"/>
    </row>
    <row r="825">
      <c r="C825" s="1"/>
      <c r="E825" s="2"/>
      <c r="F825" s="2"/>
    </row>
    <row r="826">
      <c r="C826" s="1"/>
      <c r="E826" s="2"/>
      <c r="F826" s="2"/>
    </row>
    <row r="827">
      <c r="C827" s="1"/>
      <c r="E827" s="2"/>
      <c r="F827" s="2"/>
    </row>
    <row r="828">
      <c r="C828" s="1"/>
      <c r="E828" s="2"/>
      <c r="F828" s="2"/>
    </row>
    <row r="829">
      <c r="C829" s="1"/>
      <c r="E829" s="2"/>
      <c r="F829" s="2"/>
    </row>
    <row r="830">
      <c r="C830" s="1"/>
      <c r="E830" s="2"/>
      <c r="F830" s="2"/>
    </row>
    <row r="831">
      <c r="C831" s="1"/>
      <c r="E831" s="2"/>
      <c r="F831" s="2"/>
    </row>
    <row r="832">
      <c r="C832" s="1"/>
      <c r="E832" s="2"/>
      <c r="F832" s="2"/>
    </row>
    <row r="833">
      <c r="C833" s="1"/>
      <c r="E833" s="2"/>
      <c r="F833" s="2"/>
    </row>
    <row r="834">
      <c r="C834" s="1"/>
      <c r="E834" s="2"/>
      <c r="F834" s="2"/>
    </row>
    <row r="835">
      <c r="C835" s="1"/>
      <c r="E835" s="2"/>
      <c r="F835" s="2"/>
    </row>
    <row r="836">
      <c r="C836" s="1"/>
      <c r="E836" s="2"/>
      <c r="F836" s="2"/>
    </row>
    <row r="837">
      <c r="C837" s="1"/>
      <c r="E837" s="2"/>
      <c r="F837" s="2"/>
    </row>
    <row r="838">
      <c r="C838" s="1"/>
      <c r="E838" s="2"/>
      <c r="F838" s="2"/>
    </row>
    <row r="839">
      <c r="C839" s="1"/>
      <c r="E839" s="2"/>
      <c r="F839" s="2"/>
    </row>
    <row r="840">
      <c r="C840" s="1"/>
      <c r="E840" s="2"/>
      <c r="F840" s="2"/>
    </row>
    <row r="841">
      <c r="C841" s="1"/>
      <c r="E841" s="2"/>
      <c r="F841" s="2"/>
    </row>
    <row r="842">
      <c r="C842" s="1"/>
      <c r="E842" s="2"/>
      <c r="F842" s="2"/>
    </row>
    <row r="843">
      <c r="C843" s="1"/>
      <c r="E843" s="2"/>
      <c r="F843" s="2"/>
    </row>
    <row r="844">
      <c r="C844" s="1"/>
      <c r="E844" s="2"/>
      <c r="F844" s="2"/>
    </row>
    <row r="845">
      <c r="C845" s="1"/>
      <c r="E845" s="2"/>
      <c r="F845" s="2"/>
    </row>
    <row r="846">
      <c r="C846" s="1"/>
      <c r="E846" s="2"/>
      <c r="F846" s="2"/>
    </row>
    <row r="847">
      <c r="C847" s="1"/>
      <c r="E847" s="2"/>
      <c r="F847" s="2"/>
    </row>
    <row r="848">
      <c r="C848" s="1"/>
      <c r="E848" s="2"/>
      <c r="F848" s="2"/>
    </row>
    <row r="849">
      <c r="C849" s="1"/>
      <c r="E849" s="2"/>
      <c r="F849" s="2"/>
    </row>
    <row r="850">
      <c r="C850" s="1"/>
      <c r="E850" s="2"/>
      <c r="F850" s="2"/>
    </row>
    <row r="851">
      <c r="C851" s="1"/>
      <c r="E851" s="2"/>
      <c r="F851" s="2"/>
    </row>
    <row r="852">
      <c r="C852" s="1"/>
      <c r="E852" s="2"/>
      <c r="F852" s="2"/>
    </row>
    <row r="853">
      <c r="C853" s="1"/>
      <c r="E853" s="2"/>
      <c r="F853" s="2"/>
    </row>
    <row r="854">
      <c r="C854" s="1"/>
      <c r="E854" s="2"/>
      <c r="F854" s="2"/>
    </row>
    <row r="855">
      <c r="C855" s="1"/>
      <c r="E855" s="2"/>
      <c r="F855" s="2"/>
    </row>
    <row r="856">
      <c r="C856" s="1"/>
      <c r="E856" s="2"/>
      <c r="F856" s="2"/>
    </row>
    <row r="857">
      <c r="C857" s="1"/>
      <c r="E857" s="2"/>
      <c r="F857" s="2"/>
    </row>
    <row r="858">
      <c r="C858" s="1"/>
      <c r="E858" s="2"/>
      <c r="F858" s="2"/>
    </row>
    <row r="859">
      <c r="C859" s="1"/>
      <c r="E859" s="2"/>
      <c r="F859" s="2"/>
    </row>
    <row r="860">
      <c r="C860" s="1"/>
      <c r="E860" s="2"/>
      <c r="F860" s="2"/>
    </row>
    <row r="861">
      <c r="C861" s="1"/>
      <c r="E861" s="2"/>
      <c r="F861" s="2"/>
    </row>
    <row r="862">
      <c r="C862" s="1"/>
      <c r="E862" s="2"/>
      <c r="F862" s="2"/>
    </row>
    <row r="863">
      <c r="C863" s="1"/>
      <c r="E863" s="2"/>
      <c r="F863" s="2"/>
    </row>
    <row r="864">
      <c r="C864" s="1"/>
      <c r="E864" s="2"/>
      <c r="F864" s="2"/>
    </row>
    <row r="865">
      <c r="C865" s="1"/>
      <c r="E865" s="2"/>
      <c r="F865" s="2"/>
    </row>
    <row r="866">
      <c r="C866" s="1"/>
      <c r="E866" s="2"/>
      <c r="F866" s="2"/>
    </row>
    <row r="867">
      <c r="C867" s="1"/>
      <c r="E867" s="2"/>
      <c r="F867" s="2"/>
    </row>
    <row r="868">
      <c r="C868" s="1"/>
      <c r="E868" s="2"/>
      <c r="F868" s="2"/>
    </row>
    <row r="869">
      <c r="C869" s="1"/>
      <c r="E869" s="2"/>
      <c r="F869" s="2"/>
    </row>
    <row r="870">
      <c r="C870" s="1"/>
      <c r="E870" s="2"/>
      <c r="F870" s="2"/>
    </row>
    <row r="871">
      <c r="C871" s="1"/>
      <c r="E871" s="2"/>
      <c r="F871" s="2"/>
    </row>
    <row r="872">
      <c r="C872" s="1"/>
      <c r="E872" s="2"/>
      <c r="F872" s="2"/>
    </row>
    <row r="873">
      <c r="C873" s="1"/>
      <c r="E873" s="2"/>
      <c r="F873" s="2"/>
    </row>
    <row r="874">
      <c r="C874" s="1"/>
      <c r="E874" s="2"/>
      <c r="F874" s="2"/>
    </row>
    <row r="875">
      <c r="C875" s="1"/>
      <c r="E875" s="2"/>
      <c r="F875" s="2"/>
    </row>
    <row r="876">
      <c r="C876" s="1"/>
      <c r="E876" s="2"/>
      <c r="F876" s="2"/>
    </row>
    <row r="877">
      <c r="C877" s="1"/>
      <c r="E877" s="2"/>
      <c r="F877" s="2"/>
    </row>
    <row r="878">
      <c r="C878" s="1"/>
      <c r="E878" s="2"/>
      <c r="F878" s="2"/>
    </row>
    <row r="879">
      <c r="C879" s="1"/>
      <c r="E879" s="2"/>
      <c r="F879" s="2"/>
    </row>
    <row r="880">
      <c r="C880" s="1"/>
      <c r="E880" s="2"/>
      <c r="F880" s="2"/>
    </row>
    <row r="881">
      <c r="C881" s="1"/>
      <c r="E881" s="2"/>
      <c r="F881" s="2"/>
    </row>
    <row r="882">
      <c r="C882" s="1"/>
      <c r="E882" s="2"/>
      <c r="F882" s="2"/>
    </row>
    <row r="883">
      <c r="C883" s="1"/>
      <c r="E883" s="2"/>
      <c r="F883" s="2"/>
    </row>
    <row r="884">
      <c r="C884" s="1"/>
      <c r="E884" s="2"/>
      <c r="F884" s="2"/>
    </row>
    <row r="885">
      <c r="C885" s="1"/>
      <c r="E885" s="2"/>
      <c r="F885" s="2"/>
    </row>
    <row r="886">
      <c r="C886" s="1"/>
      <c r="E886" s="2"/>
      <c r="F886" s="2"/>
    </row>
    <row r="887">
      <c r="C887" s="1"/>
      <c r="E887" s="2"/>
      <c r="F887" s="2"/>
    </row>
    <row r="888">
      <c r="C888" s="1"/>
      <c r="E888" s="2"/>
      <c r="F888" s="2"/>
    </row>
    <row r="889">
      <c r="C889" s="1"/>
      <c r="E889" s="2"/>
      <c r="F889" s="2"/>
    </row>
    <row r="890">
      <c r="C890" s="1"/>
      <c r="E890" s="2"/>
      <c r="F890" s="2"/>
    </row>
    <row r="891">
      <c r="C891" s="1"/>
      <c r="E891" s="2"/>
      <c r="F891" s="2"/>
    </row>
    <row r="892">
      <c r="C892" s="1"/>
      <c r="E892" s="2"/>
      <c r="F892" s="2"/>
    </row>
    <row r="893">
      <c r="C893" s="1"/>
      <c r="E893" s="2"/>
      <c r="F893" s="2"/>
    </row>
    <row r="894">
      <c r="C894" s="1"/>
      <c r="E894" s="2"/>
      <c r="F894" s="2"/>
    </row>
    <row r="895">
      <c r="C895" s="1"/>
      <c r="E895" s="2"/>
      <c r="F895" s="2"/>
    </row>
    <row r="896">
      <c r="C896" s="1"/>
      <c r="E896" s="2"/>
      <c r="F896" s="2"/>
    </row>
    <row r="897">
      <c r="C897" s="1"/>
      <c r="E897" s="2"/>
      <c r="F897" s="2"/>
    </row>
    <row r="898">
      <c r="C898" s="1"/>
      <c r="E898" s="2"/>
      <c r="F898" s="2"/>
    </row>
    <row r="899">
      <c r="C899" s="1"/>
      <c r="E899" s="2"/>
      <c r="F899" s="2"/>
    </row>
    <row r="900">
      <c r="C900" s="1"/>
      <c r="E900" s="2"/>
      <c r="F900" s="2"/>
    </row>
    <row r="901">
      <c r="C901" s="1"/>
      <c r="E901" s="2"/>
      <c r="F901" s="2"/>
    </row>
    <row r="902">
      <c r="C902" s="1"/>
      <c r="E902" s="2"/>
      <c r="F902" s="2"/>
    </row>
    <row r="903">
      <c r="C903" s="1"/>
      <c r="E903" s="2"/>
      <c r="F903" s="2"/>
    </row>
    <row r="904">
      <c r="C904" s="1"/>
      <c r="E904" s="2"/>
      <c r="F904" s="2"/>
    </row>
    <row r="905">
      <c r="C905" s="1"/>
      <c r="E905" s="2"/>
      <c r="F905" s="2"/>
    </row>
    <row r="906">
      <c r="C906" s="1"/>
      <c r="E906" s="2"/>
      <c r="F906" s="2"/>
    </row>
    <row r="907">
      <c r="C907" s="1"/>
      <c r="E907" s="2"/>
      <c r="F907" s="2"/>
    </row>
    <row r="908">
      <c r="C908" s="1"/>
      <c r="E908" s="2"/>
      <c r="F908" s="2"/>
    </row>
    <row r="909">
      <c r="C909" s="1"/>
      <c r="E909" s="2"/>
      <c r="F909" s="2"/>
    </row>
    <row r="910">
      <c r="C910" s="1"/>
      <c r="E910" s="2"/>
      <c r="F910" s="2"/>
    </row>
    <row r="911">
      <c r="C911" s="1"/>
      <c r="E911" s="2"/>
      <c r="F911" s="2"/>
    </row>
    <row r="912">
      <c r="C912" s="1"/>
      <c r="E912" s="2"/>
      <c r="F912" s="2"/>
    </row>
    <row r="913">
      <c r="C913" s="1"/>
      <c r="E913" s="2"/>
      <c r="F913" s="2"/>
    </row>
    <row r="914">
      <c r="C914" s="1"/>
      <c r="E914" s="2"/>
      <c r="F914" s="2"/>
    </row>
    <row r="915">
      <c r="C915" s="1"/>
      <c r="E915" s="2"/>
      <c r="F915" s="2"/>
    </row>
    <row r="916">
      <c r="C916" s="1"/>
      <c r="E916" s="2"/>
      <c r="F916" s="2"/>
    </row>
    <row r="917">
      <c r="C917" s="1"/>
      <c r="E917" s="2"/>
      <c r="F917" s="2"/>
    </row>
    <row r="918">
      <c r="C918" s="1"/>
      <c r="E918" s="2"/>
      <c r="F918" s="2"/>
    </row>
    <row r="919">
      <c r="C919" s="1"/>
      <c r="E919" s="2"/>
      <c r="F919" s="2"/>
    </row>
    <row r="920">
      <c r="C920" s="1"/>
      <c r="E920" s="2"/>
      <c r="F920" s="2"/>
    </row>
    <row r="921">
      <c r="C921" s="1"/>
      <c r="E921" s="2"/>
      <c r="F921" s="2"/>
    </row>
    <row r="922">
      <c r="C922" s="1"/>
      <c r="E922" s="2"/>
      <c r="F922" s="2"/>
    </row>
    <row r="923">
      <c r="C923" s="1"/>
      <c r="E923" s="2"/>
      <c r="F923" s="2"/>
    </row>
    <row r="924">
      <c r="C924" s="1"/>
      <c r="E924" s="2"/>
      <c r="F924" s="2"/>
    </row>
    <row r="925">
      <c r="C925" s="1"/>
      <c r="E925" s="2"/>
      <c r="F925" s="2"/>
    </row>
    <row r="926">
      <c r="C926" s="1"/>
      <c r="E926" s="2"/>
      <c r="F926" s="2"/>
    </row>
    <row r="927">
      <c r="C927" s="1"/>
      <c r="E927" s="2"/>
      <c r="F927" s="2"/>
    </row>
    <row r="928">
      <c r="C928" s="1"/>
      <c r="E928" s="2"/>
      <c r="F928" s="2"/>
    </row>
    <row r="929">
      <c r="C929" s="1"/>
      <c r="E929" s="2"/>
      <c r="F929" s="2"/>
    </row>
    <row r="930">
      <c r="C930" s="1"/>
      <c r="E930" s="2"/>
      <c r="F930" s="2"/>
    </row>
    <row r="931">
      <c r="C931" s="1"/>
      <c r="E931" s="2"/>
      <c r="F931" s="2"/>
    </row>
    <row r="932">
      <c r="C932" s="1"/>
      <c r="E932" s="2"/>
      <c r="F932" s="2"/>
    </row>
    <row r="933">
      <c r="C933" s="1"/>
      <c r="E933" s="2"/>
      <c r="F933" s="2"/>
    </row>
    <row r="934">
      <c r="C934" s="1"/>
      <c r="E934" s="2"/>
      <c r="F934" s="2"/>
    </row>
    <row r="935">
      <c r="C935" s="1"/>
      <c r="E935" s="2"/>
      <c r="F935" s="2"/>
    </row>
    <row r="936">
      <c r="C936" s="1"/>
      <c r="E936" s="2"/>
      <c r="F936" s="2"/>
    </row>
    <row r="937">
      <c r="C937" s="1"/>
      <c r="E937" s="2"/>
      <c r="F937" s="2"/>
    </row>
    <row r="938">
      <c r="C938" s="1"/>
      <c r="E938" s="2"/>
      <c r="F938" s="2"/>
    </row>
    <row r="939">
      <c r="C939" s="1"/>
      <c r="E939" s="2"/>
      <c r="F939" s="2"/>
    </row>
    <row r="940">
      <c r="C940" s="1"/>
      <c r="E940" s="2"/>
      <c r="F940" s="2"/>
    </row>
    <row r="941">
      <c r="C941" s="1"/>
      <c r="E941" s="2"/>
      <c r="F941" s="2"/>
    </row>
    <row r="942">
      <c r="C942" s="1"/>
      <c r="E942" s="2"/>
      <c r="F942" s="2"/>
    </row>
    <row r="943">
      <c r="C943" s="1"/>
      <c r="E943" s="2"/>
      <c r="F943" s="2"/>
    </row>
    <row r="944">
      <c r="C944" s="1"/>
      <c r="E944" s="2"/>
      <c r="F944" s="2"/>
    </row>
    <row r="945">
      <c r="C945" s="1"/>
      <c r="E945" s="2"/>
      <c r="F945" s="2"/>
    </row>
    <row r="946">
      <c r="C946" s="1"/>
      <c r="E946" s="2"/>
      <c r="F946" s="2"/>
    </row>
    <row r="947">
      <c r="C947" s="1"/>
      <c r="E947" s="2"/>
      <c r="F947" s="2"/>
    </row>
    <row r="948">
      <c r="C948" s="1"/>
      <c r="E948" s="2"/>
      <c r="F948" s="2"/>
    </row>
    <row r="949">
      <c r="C949" s="1"/>
      <c r="E949" s="2"/>
      <c r="F949" s="2"/>
    </row>
    <row r="950">
      <c r="C950" s="1"/>
      <c r="E950" s="2"/>
      <c r="F950" s="2"/>
    </row>
    <row r="951">
      <c r="C951" s="1"/>
      <c r="E951" s="2"/>
      <c r="F951" s="2"/>
    </row>
    <row r="952">
      <c r="C952" s="1"/>
      <c r="E952" s="2"/>
      <c r="F952" s="2"/>
    </row>
    <row r="953">
      <c r="C953" s="1"/>
      <c r="E953" s="2"/>
      <c r="F953" s="2"/>
    </row>
    <row r="954">
      <c r="C954" s="1"/>
      <c r="E954" s="2"/>
      <c r="F954" s="2"/>
    </row>
    <row r="955">
      <c r="C955" s="1"/>
      <c r="E955" s="2"/>
      <c r="F955" s="2"/>
    </row>
    <row r="956">
      <c r="C956" s="1"/>
      <c r="E956" s="2"/>
      <c r="F956" s="2"/>
    </row>
    <row r="957">
      <c r="C957" s="1"/>
      <c r="E957" s="2"/>
      <c r="F957" s="2"/>
    </row>
    <row r="958">
      <c r="C958" s="1"/>
      <c r="E958" s="2"/>
      <c r="F958" s="2"/>
    </row>
    <row r="959">
      <c r="C959" s="1"/>
      <c r="E959" s="2"/>
      <c r="F959" s="2"/>
    </row>
    <row r="960">
      <c r="C960" s="1"/>
      <c r="E960" s="2"/>
      <c r="F960" s="2"/>
    </row>
    <row r="961">
      <c r="C961" s="1"/>
      <c r="E961" s="2"/>
      <c r="F961" s="2"/>
    </row>
    <row r="962">
      <c r="C962" s="1"/>
      <c r="E962" s="2"/>
      <c r="F962" s="2"/>
    </row>
    <row r="963">
      <c r="C963" s="1"/>
      <c r="E963" s="2"/>
      <c r="F963" s="2"/>
    </row>
    <row r="964">
      <c r="C964" s="1"/>
      <c r="E964" s="2"/>
      <c r="F964" s="2"/>
    </row>
    <row r="965">
      <c r="C965" s="1"/>
      <c r="E965" s="2"/>
      <c r="F965" s="2"/>
    </row>
    <row r="966">
      <c r="C966" s="1"/>
      <c r="E966" s="2"/>
      <c r="F966" s="2"/>
    </row>
    <row r="967">
      <c r="C967" s="1"/>
      <c r="E967" s="2"/>
      <c r="F967" s="2"/>
    </row>
    <row r="968">
      <c r="C968" s="1"/>
      <c r="E968" s="2"/>
      <c r="F96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4" max="24" width="6.0"/>
    <col customWidth="1" min="25" max="25" width="15.75"/>
  </cols>
  <sheetData>
    <row r="1">
      <c r="C1" s="1"/>
      <c r="E1" s="2"/>
      <c r="F1" s="2"/>
    </row>
    <row r="2">
      <c r="C2" s="1"/>
      <c r="E2" s="2"/>
      <c r="F2" s="2"/>
    </row>
    <row r="3">
      <c r="C3" s="1"/>
      <c r="E3" s="2"/>
      <c r="F3" s="2"/>
    </row>
    <row r="4">
      <c r="C4" s="1"/>
      <c r="E4" s="2"/>
      <c r="F4" s="2"/>
    </row>
    <row r="5">
      <c r="C5" s="1"/>
      <c r="E5" s="2"/>
      <c r="F5" s="2"/>
    </row>
    <row r="6">
      <c r="A6" s="3" t="s">
        <v>0</v>
      </c>
      <c r="C6" s="1"/>
      <c r="E6" s="2"/>
      <c r="F6" s="2"/>
    </row>
    <row r="7">
      <c r="C7" s="1"/>
      <c r="E7" s="2"/>
      <c r="F7" s="2"/>
    </row>
    <row r="8">
      <c r="C8" s="1"/>
      <c r="E8" s="2"/>
      <c r="F8" s="2"/>
    </row>
    <row r="9">
      <c r="A9" s="4" t="s">
        <v>1</v>
      </c>
      <c r="B9" s="5"/>
      <c r="C9" s="5"/>
      <c r="D9" s="6"/>
      <c r="E9" s="7"/>
      <c r="F9" s="7"/>
      <c r="G9" s="5"/>
      <c r="H9" s="5"/>
      <c r="I9" s="5"/>
      <c r="J9" s="7"/>
      <c r="K9" s="5"/>
      <c r="M9" s="4" t="s">
        <v>35</v>
      </c>
    </row>
    <row r="10">
      <c r="A10" s="45" t="s">
        <v>3</v>
      </c>
      <c r="B10" s="45" t="s">
        <v>4</v>
      </c>
      <c r="C10" s="45" t="s">
        <v>5</v>
      </c>
      <c r="D10" s="46" t="s">
        <v>6</v>
      </c>
      <c r="E10" s="47" t="s">
        <v>7</v>
      </c>
      <c r="F10" s="47" t="s">
        <v>8</v>
      </c>
      <c r="G10" s="45" t="s">
        <v>9</v>
      </c>
      <c r="H10" s="45" t="s">
        <v>10</v>
      </c>
      <c r="I10" s="45" t="s">
        <v>11</v>
      </c>
      <c r="J10" s="47" t="s">
        <v>12</v>
      </c>
      <c r="K10" s="45" t="s">
        <v>13</v>
      </c>
      <c r="M10" s="8" t="s">
        <v>3</v>
      </c>
      <c r="N10" s="8" t="s">
        <v>4</v>
      </c>
      <c r="O10" s="8" t="s">
        <v>5</v>
      </c>
      <c r="P10" s="9" t="s">
        <v>6</v>
      </c>
      <c r="Q10" s="10" t="s">
        <v>7</v>
      </c>
      <c r="R10" s="10" t="s">
        <v>8</v>
      </c>
      <c r="S10" s="8" t="s">
        <v>9</v>
      </c>
      <c r="T10" s="8" t="s">
        <v>10</v>
      </c>
      <c r="U10" s="8" t="s">
        <v>11</v>
      </c>
      <c r="V10" s="10" t="s">
        <v>12</v>
      </c>
      <c r="W10" s="8" t="s">
        <v>13</v>
      </c>
      <c r="Y10" s="3" t="s">
        <v>36</v>
      </c>
      <c r="Z10" s="3" t="s">
        <v>37</v>
      </c>
    </row>
    <row r="11">
      <c r="A11" s="48" t="s">
        <v>16</v>
      </c>
      <c r="B11" s="49">
        <v>345336.02999999997</v>
      </c>
      <c r="C11" s="50">
        <f t="shared" ref="C11:C22" si="1">B11*D11</f>
        <v>130916.889</v>
      </c>
      <c r="D11" s="51">
        <v>0.3791</v>
      </c>
      <c r="E11" s="52">
        <v>0.19</v>
      </c>
      <c r="F11" s="52">
        <f t="shared" ref="F11:F22" si="2">C11*E11</f>
        <v>24874.2089</v>
      </c>
      <c r="G11" s="49">
        <f t="shared" ref="G11:G22" si="3">C11*H11</f>
        <v>10892.28516</v>
      </c>
      <c r="H11" s="53">
        <v>0.0832</v>
      </c>
      <c r="I11" s="54">
        <f t="shared" ref="I11:I23" si="4">F11/G11</f>
        <v>2.283653846</v>
      </c>
      <c r="J11" s="54">
        <f t="shared" ref="J11:J22" si="5">G11*K11</f>
        <v>1223203.624</v>
      </c>
      <c r="K11" s="52">
        <v>112.3</v>
      </c>
      <c r="M11" s="14" t="s">
        <v>16</v>
      </c>
      <c r="N11" s="15">
        <v>345336.02999999997</v>
      </c>
      <c r="O11" s="16">
        <f t="shared" ref="O11:O22" si="6">N11*P11</f>
        <v>130916.889</v>
      </c>
      <c r="P11" s="17">
        <v>0.3791</v>
      </c>
      <c r="Q11" s="18">
        <v>0.19</v>
      </c>
      <c r="R11" s="18">
        <f t="shared" ref="R11:R22" si="7">O11*Q11</f>
        <v>24874.2089</v>
      </c>
      <c r="S11" s="15">
        <f t="shared" ref="S11:S22" si="8">O11*T11</f>
        <v>10892.28516</v>
      </c>
      <c r="T11" s="19">
        <v>0.0832</v>
      </c>
      <c r="U11" s="20">
        <f t="shared" ref="U11:U23" si="9">R11/S11</f>
        <v>2.283653846</v>
      </c>
      <c r="V11" s="20">
        <f t="shared" ref="V11:V22" si="10">S11*W11</f>
        <v>1223203.624</v>
      </c>
      <c r="W11" s="18">
        <v>112.3</v>
      </c>
      <c r="Y11" s="23">
        <f t="shared" ref="Y11:Y22" si="11">F11/R11-1</f>
        <v>0</v>
      </c>
      <c r="Z11" s="23">
        <f t="shared" ref="Z11:Z22" si="12">J11/V11-1</f>
        <v>0</v>
      </c>
    </row>
    <row r="12">
      <c r="A12" s="48" t="s">
        <v>17</v>
      </c>
      <c r="B12" s="49">
        <v>403198.74</v>
      </c>
      <c r="C12" s="50">
        <f t="shared" si="1"/>
        <v>136321.494</v>
      </c>
      <c r="D12" s="51">
        <v>0.3381</v>
      </c>
      <c r="E12" s="52">
        <v>0.22</v>
      </c>
      <c r="F12" s="52">
        <f t="shared" si="2"/>
        <v>29990.72868</v>
      </c>
      <c r="G12" s="49">
        <f t="shared" si="3"/>
        <v>11682.75204</v>
      </c>
      <c r="H12" s="53">
        <v>0.0857</v>
      </c>
      <c r="I12" s="54">
        <f t="shared" si="4"/>
        <v>2.567094516</v>
      </c>
      <c r="J12" s="54">
        <f t="shared" si="5"/>
        <v>1304612.92</v>
      </c>
      <c r="K12" s="52">
        <v>111.67</v>
      </c>
      <c r="M12" s="14" t="s">
        <v>17</v>
      </c>
      <c r="N12" s="15">
        <v>403198.74</v>
      </c>
      <c r="O12" s="16">
        <f t="shared" si="6"/>
        <v>136321.494</v>
      </c>
      <c r="P12" s="17">
        <v>0.3381</v>
      </c>
      <c r="Q12" s="18">
        <v>0.22</v>
      </c>
      <c r="R12" s="18">
        <f t="shared" si="7"/>
        <v>29990.72868</v>
      </c>
      <c r="S12" s="15">
        <f t="shared" si="8"/>
        <v>11682.75204</v>
      </c>
      <c r="T12" s="19">
        <v>0.0857</v>
      </c>
      <c r="U12" s="20">
        <f t="shared" si="9"/>
        <v>2.567094516</v>
      </c>
      <c r="V12" s="20">
        <f t="shared" si="10"/>
        <v>1304612.92</v>
      </c>
      <c r="W12" s="18">
        <v>111.67</v>
      </c>
      <c r="Y12" s="23">
        <f t="shared" si="11"/>
        <v>0</v>
      </c>
      <c r="Z12" s="23">
        <f t="shared" si="12"/>
        <v>0</v>
      </c>
    </row>
    <row r="13">
      <c r="A13" s="48" t="s">
        <v>18</v>
      </c>
      <c r="B13" s="50">
        <v>4732400.0</v>
      </c>
      <c r="C13" s="50">
        <f t="shared" si="1"/>
        <v>133926.92</v>
      </c>
      <c r="D13" s="51">
        <v>0.0283</v>
      </c>
      <c r="E13" s="52">
        <v>0.22</v>
      </c>
      <c r="F13" s="52">
        <f t="shared" si="2"/>
        <v>29463.9224</v>
      </c>
      <c r="G13" s="49">
        <f t="shared" si="3"/>
        <v>15696.23502</v>
      </c>
      <c r="H13" s="53">
        <v>0.1172</v>
      </c>
      <c r="I13" s="54">
        <f t="shared" si="4"/>
        <v>1.877133106</v>
      </c>
      <c r="J13" s="54">
        <f t="shared" si="5"/>
        <v>1396964.917</v>
      </c>
      <c r="K13" s="52">
        <v>89.0</v>
      </c>
      <c r="M13" s="14" t="s">
        <v>18</v>
      </c>
      <c r="N13" s="15">
        <v>440750.61</v>
      </c>
      <c r="O13" s="16">
        <f t="shared" si="6"/>
        <v>140202.769</v>
      </c>
      <c r="P13" s="17">
        <v>0.3181</v>
      </c>
      <c r="Q13" s="18">
        <v>0.18</v>
      </c>
      <c r="R13" s="18">
        <f t="shared" si="7"/>
        <v>25236.49843</v>
      </c>
      <c r="S13" s="15">
        <f t="shared" si="8"/>
        <v>11286.32291</v>
      </c>
      <c r="T13" s="19">
        <v>0.0805</v>
      </c>
      <c r="U13" s="20">
        <f t="shared" si="9"/>
        <v>2.236024845</v>
      </c>
      <c r="V13" s="20">
        <f t="shared" si="10"/>
        <v>1216327.02</v>
      </c>
      <c r="W13" s="18">
        <v>107.77</v>
      </c>
      <c r="Y13" s="23">
        <f t="shared" si="11"/>
        <v>0.1675123031</v>
      </c>
      <c r="Z13" s="23">
        <f t="shared" si="12"/>
        <v>0.1485109633</v>
      </c>
    </row>
    <row r="14">
      <c r="A14" s="48" t="s">
        <v>19</v>
      </c>
      <c r="B14" s="50">
        <v>511315.0</v>
      </c>
      <c r="C14" s="50">
        <f t="shared" si="1"/>
        <v>150889.0565</v>
      </c>
      <c r="D14" s="51">
        <v>0.2951</v>
      </c>
      <c r="E14" s="52">
        <v>0.24</v>
      </c>
      <c r="F14" s="52">
        <f t="shared" si="2"/>
        <v>36213.37356</v>
      </c>
      <c r="G14" s="49">
        <f t="shared" si="3"/>
        <v>12086.21343</v>
      </c>
      <c r="H14" s="53">
        <v>0.0801</v>
      </c>
      <c r="I14" s="54">
        <f t="shared" si="4"/>
        <v>2.996254682</v>
      </c>
      <c r="J14" s="54">
        <f t="shared" si="5"/>
        <v>1366588.152</v>
      </c>
      <c r="K14" s="52">
        <v>113.07</v>
      </c>
      <c r="L14" s="55"/>
      <c r="M14" s="56" t="s">
        <v>19</v>
      </c>
      <c r="N14" s="57">
        <v>472867.69499999995</v>
      </c>
      <c r="O14" s="58">
        <f t="shared" si="6"/>
        <v>139543.2568</v>
      </c>
      <c r="P14" s="59">
        <v>0.2951</v>
      </c>
      <c r="Q14" s="60">
        <v>0.19</v>
      </c>
      <c r="R14" s="60">
        <f t="shared" si="7"/>
        <v>26513.21879</v>
      </c>
      <c r="S14" s="57">
        <f t="shared" si="8"/>
        <v>11679.77059</v>
      </c>
      <c r="T14" s="61">
        <v>0.0837</v>
      </c>
      <c r="U14" s="62">
        <f t="shared" si="9"/>
        <v>2.270011947</v>
      </c>
      <c r="V14" s="62">
        <f t="shared" si="10"/>
        <v>1320631.661</v>
      </c>
      <c r="W14" s="60">
        <v>113.07</v>
      </c>
      <c r="X14" s="63"/>
      <c r="Y14" s="64">
        <f t="shared" si="11"/>
        <v>0.3658610765</v>
      </c>
      <c r="Z14" s="64">
        <f t="shared" si="12"/>
        <v>0.03479887115</v>
      </c>
    </row>
    <row r="15">
      <c r="A15" s="48" t="s">
        <v>20</v>
      </c>
      <c r="B15" s="50">
        <v>575349.525</v>
      </c>
      <c r="C15" s="50">
        <f t="shared" si="1"/>
        <v>171971.973</v>
      </c>
      <c r="D15" s="51">
        <v>0.2989</v>
      </c>
      <c r="E15" s="52">
        <v>0.23</v>
      </c>
      <c r="F15" s="52">
        <f t="shared" si="2"/>
        <v>39553.5538</v>
      </c>
      <c r="G15" s="49">
        <f t="shared" si="3"/>
        <v>12416.37645</v>
      </c>
      <c r="H15" s="53">
        <v>0.0722</v>
      </c>
      <c r="I15" s="54">
        <f t="shared" si="4"/>
        <v>3.185595568</v>
      </c>
      <c r="J15" s="54">
        <f t="shared" si="5"/>
        <v>1291178.987</v>
      </c>
      <c r="K15" s="52">
        <v>103.99</v>
      </c>
      <c r="L15" s="55"/>
      <c r="M15" s="56" t="s">
        <v>20</v>
      </c>
      <c r="N15" s="57">
        <v>530349.5249999999</v>
      </c>
      <c r="O15" s="58">
        <f t="shared" si="6"/>
        <v>158521.473</v>
      </c>
      <c r="P15" s="59">
        <v>0.2989</v>
      </c>
      <c r="Q15" s="60">
        <v>0.18</v>
      </c>
      <c r="R15" s="60">
        <f t="shared" si="7"/>
        <v>28533.86514</v>
      </c>
      <c r="S15" s="57">
        <f t="shared" si="8"/>
        <v>12079.33624</v>
      </c>
      <c r="T15" s="61">
        <v>0.0762</v>
      </c>
      <c r="U15" s="62">
        <f t="shared" si="9"/>
        <v>2.362204724</v>
      </c>
      <c r="V15" s="62">
        <f t="shared" si="10"/>
        <v>1256130.176</v>
      </c>
      <c r="W15" s="60">
        <v>103.99</v>
      </c>
      <c r="X15" s="63"/>
      <c r="Y15" s="64">
        <f t="shared" si="11"/>
        <v>0.3861968435</v>
      </c>
      <c r="Z15" s="64">
        <f t="shared" si="12"/>
        <v>0.0279022126</v>
      </c>
    </row>
    <row r="16">
      <c r="A16" s="48" t="s">
        <v>21</v>
      </c>
      <c r="B16" s="49">
        <v>400662.99</v>
      </c>
      <c r="C16" s="50">
        <f t="shared" si="1"/>
        <v>116673.0627</v>
      </c>
      <c r="D16" s="51">
        <v>0.2912</v>
      </c>
      <c r="E16" s="52">
        <v>0.19</v>
      </c>
      <c r="F16" s="52">
        <f t="shared" si="2"/>
        <v>22167.88191</v>
      </c>
      <c r="G16" s="49">
        <f t="shared" si="3"/>
        <v>10395.56989</v>
      </c>
      <c r="H16" s="53">
        <v>0.0891</v>
      </c>
      <c r="I16" s="54">
        <f t="shared" si="4"/>
        <v>2.132435466</v>
      </c>
      <c r="J16" s="54">
        <f t="shared" si="5"/>
        <v>1072199.078</v>
      </c>
      <c r="K16" s="52">
        <v>103.14</v>
      </c>
      <c r="M16" s="14" t="s">
        <v>21</v>
      </c>
      <c r="N16" s="15">
        <v>400662.99</v>
      </c>
      <c r="O16" s="16">
        <f t="shared" si="6"/>
        <v>116673.0627</v>
      </c>
      <c r="P16" s="17">
        <v>0.2912</v>
      </c>
      <c r="Q16" s="18">
        <v>0.19</v>
      </c>
      <c r="R16" s="18">
        <f t="shared" si="7"/>
        <v>22167.88191</v>
      </c>
      <c r="S16" s="15">
        <f t="shared" si="8"/>
        <v>10395.56989</v>
      </c>
      <c r="T16" s="19">
        <v>0.0891</v>
      </c>
      <c r="U16" s="20">
        <f t="shared" si="9"/>
        <v>2.132435466</v>
      </c>
      <c r="V16" s="20">
        <f t="shared" si="10"/>
        <v>1072199.078</v>
      </c>
      <c r="W16" s="18">
        <v>103.14</v>
      </c>
      <c r="Y16" s="23">
        <f t="shared" si="11"/>
        <v>0</v>
      </c>
      <c r="Z16" s="23">
        <f t="shared" si="12"/>
        <v>0</v>
      </c>
    </row>
    <row r="17">
      <c r="A17" s="48" t="s">
        <v>22</v>
      </c>
      <c r="B17" s="49">
        <v>244129.58999999997</v>
      </c>
      <c r="C17" s="50">
        <f t="shared" si="1"/>
        <v>106651.3037</v>
      </c>
      <c r="D17" s="65">
        <v>0.436863485809662</v>
      </c>
      <c r="E17" s="54">
        <v>0.11539569336701307</v>
      </c>
      <c r="F17" s="52">
        <f t="shared" si="2"/>
        <v>12307.10114</v>
      </c>
      <c r="G17" s="49">
        <f t="shared" si="3"/>
        <v>10899.76324</v>
      </c>
      <c r="H17" s="53">
        <v>0.1022</v>
      </c>
      <c r="I17" s="54">
        <f t="shared" si="4"/>
        <v>1.129116373</v>
      </c>
      <c r="J17" s="54">
        <f t="shared" si="5"/>
        <v>1102789.301</v>
      </c>
      <c r="K17" s="54">
        <v>101.17552801657281</v>
      </c>
      <c r="M17" s="14" t="s">
        <v>22</v>
      </c>
      <c r="N17" s="15">
        <v>244129.58999999997</v>
      </c>
      <c r="O17" s="16">
        <f t="shared" si="6"/>
        <v>106651.3037</v>
      </c>
      <c r="P17" s="24">
        <v>0.436863485809662</v>
      </c>
      <c r="Q17" s="20">
        <v>0.11539569336701307</v>
      </c>
      <c r="R17" s="18">
        <f t="shared" si="7"/>
        <v>12307.10114</v>
      </c>
      <c r="S17" s="15">
        <f t="shared" si="8"/>
        <v>10899.76324</v>
      </c>
      <c r="T17" s="19">
        <v>0.1022</v>
      </c>
      <c r="U17" s="20">
        <f t="shared" si="9"/>
        <v>1.129116373</v>
      </c>
      <c r="V17" s="20">
        <f t="shared" si="10"/>
        <v>1102789.301</v>
      </c>
      <c r="W17" s="20">
        <v>101.17552801657281</v>
      </c>
      <c r="Y17" s="23">
        <f t="shared" si="11"/>
        <v>0</v>
      </c>
      <c r="Z17" s="23">
        <f t="shared" si="12"/>
        <v>0</v>
      </c>
    </row>
    <row r="18">
      <c r="A18" s="48" t="s">
        <v>23</v>
      </c>
      <c r="B18" s="49">
        <v>225099.04499999998</v>
      </c>
      <c r="C18" s="50">
        <f t="shared" si="1"/>
        <v>103301.6188</v>
      </c>
      <c r="D18" s="65">
        <v>0.4589162910342079</v>
      </c>
      <c r="E18" s="54">
        <v>0.11965378944674579</v>
      </c>
      <c r="F18" s="52">
        <f t="shared" si="2"/>
        <v>12360.43015</v>
      </c>
      <c r="G18" s="49">
        <f t="shared" si="3"/>
        <v>10846.66998</v>
      </c>
      <c r="H18" s="53">
        <v>0.105</v>
      </c>
      <c r="I18" s="54">
        <f t="shared" si="4"/>
        <v>1.139559899</v>
      </c>
      <c r="J18" s="54">
        <f t="shared" si="5"/>
        <v>1106429.416</v>
      </c>
      <c r="K18" s="54">
        <v>102.0063686499176</v>
      </c>
      <c r="M18" s="14" t="s">
        <v>23</v>
      </c>
      <c r="N18" s="15">
        <v>225099.04499999998</v>
      </c>
      <c r="O18" s="16">
        <f t="shared" si="6"/>
        <v>103301.6188</v>
      </c>
      <c r="P18" s="24">
        <v>0.4589162910342079</v>
      </c>
      <c r="Q18" s="20">
        <v>0.11965378944674579</v>
      </c>
      <c r="R18" s="18">
        <f t="shared" si="7"/>
        <v>12360.43015</v>
      </c>
      <c r="S18" s="15">
        <f t="shared" si="8"/>
        <v>10846.66998</v>
      </c>
      <c r="T18" s="19">
        <v>0.105</v>
      </c>
      <c r="U18" s="20">
        <f t="shared" si="9"/>
        <v>1.139559899</v>
      </c>
      <c r="V18" s="20">
        <f t="shared" si="10"/>
        <v>1106429.416</v>
      </c>
      <c r="W18" s="20">
        <v>102.0063686499176</v>
      </c>
      <c r="Y18" s="23">
        <f t="shared" si="11"/>
        <v>0</v>
      </c>
      <c r="Z18" s="23">
        <f t="shared" si="12"/>
        <v>0</v>
      </c>
    </row>
    <row r="19">
      <c r="A19" s="48" t="s">
        <v>24</v>
      </c>
      <c r="B19" s="49">
        <v>184952.43</v>
      </c>
      <c r="C19" s="50">
        <f t="shared" si="1"/>
        <v>83842.0276</v>
      </c>
      <c r="D19" s="65">
        <v>0.45331671281760233</v>
      </c>
      <c r="E19" s="54">
        <v>0.1239114905018328</v>
      </c>
      <c r="F19" s="52">
        <f t="shared" si="2"/>
        <v>10388.99061</v>
      </c>
      <c r="G19" s="49">
        <f t="shared" si="3"/>
        <v>8803.412897</v>
      </c>
      <c r="H19" s="53">
        <v>0.105</v>
      </c>
      <c r="I19" s="54">
        <f t="shared" si="4"/>
        <v>1.180109433</v>
      </c>
      <c r="J19" s="54">
        <f t="shared" si="5"/>
        <v>843170.8266</v>
      </c>
      <c r="K19" s="54">
        <v>95.77772125650696</v>
      </c>
      <c r="M19" s="14" t="s">
        <v>24</v>
      </c>
      <c r="N19" s="15">
        <v>184952.43</v>
      </c>
      <c r="O19" s="16">
        <f t="shared" si="6"/>
        <v>83842.0276</v>
      </c>
      <c r="P19" s="24">
        <v>0.45331671281760233</v>
      </c>
      <c r="Q19" s="20">
        <v>0.1239114905018328</v>
      </c>
      <c r="R19" s="18">
        <f t="shared" si="7"/>
        <v>10388.99061</v>
      </c>
      <c r="S19" s="15">
        <f t="shared" si="8"/>
        <v>8803.412897</v>
      </c>
      <c r="T19" s="19">
        <v>0.105</v>
      </c>
      <c r="U19" s="20">
        <f t="shared" si="9"/>
        <v>1.180109433</v>
      </c>
      <c r="V19" s="20">
        <f t="shared" si="10"/>
        <v>843170.8266</v>
      </c>
      <c r="W19" s="20">
        <v>95.77772125650696</v>
      </c>
      <c r="Y19" s="23">
        <f t="shared" si="11"/>
        <v>0</v>
      </c>
      <c r="Z19" s="23">
        <f t="shared" si="12"/>
        <v>0</v>
      </c>
    </row>
    <row r="20">
      <c r="A20" s="48" t="s">
        <v>25</v>
      </c>
      <c r="B20" s="49">
        <v>241872.32998420784</v>
      </c>
      <c r="C20" s="50">
        <f t="shared" si="1"/>
        <v>90311.46529</v>
      </c>
      <c r="D20" s="65">
        <v>0.37338485676139704</v>
      </c>
      <c r="E20" s="54">
        <v>0.1548766461556156</v>
      </c>
      <c r="F20" s="52">
        <f t="shared" si="2"/>
        <v>13987.13685</v>
      </c>
      <c r="G20" s="49">
        <f t="shared" si="3"/>
        <v>5756.350182</v>
      </c>
      <c r="H20" s="66">
        <v>0.06373886376679604</v>
      </c>
      <c r="I20" s="54">
        <f t="shared" si="4"/>
        <v>2.42986205</v>
      </c>
      <c r="J20" s="54">
        <f t="shared" si="5"/>
        <v>527425.8674</v>
      </c>
      <c r="K20" s="54">
        <v>91.62504898549385</v>
      </c>
      <c r="M20" s="14" t="s">
        <v>25</v>
      </c>
      <c r="N20" s="15">
        <v>241872.32998420784</v>
      </c>
      <c r="O20" s="16">
        <f t="shared" si="6"/>
        <v>90311.46529</v>
      </c>
      <c r="P20" s="24">
        <v>0.37338485676139704</v>
      </c>
      <c r="Q20" s="20">
        <v>0.1548766461556156</v>
      </c>
      <c r="R20" s="18">
        <f t="shared" si="7"/>
        <v>13987.13685</v>
      </c>
      <c r="S20" s="15">
        <f t="shared" si="8"/>
        <v>5756.350182</v>
      </c>
      <c r="T20" s="26">
        <v>0.06373886376679604</v>
      </c>
      <c r="U20" s="20">
        <f t="shared" si="9"/>
        <v>2.42986205</v>
      </c>
      <c r="V20" s="20">
        <f t="shared" si="10"/>
        <v>527425.8674</v>
      </c>
      <c r="W20" s="20">
        <v>91.62504898549385</v>
      </c>
      <c r="Y20" s="23">
        <f t="shared" si="11"/>
        <v>0</v>
      </c>
      <c r="Z20" s="23">
        <f t="shared" si="12"/>
        <v>0</v>
      </c>
    </row>
    <row r="21">
      <c r="A21" s="48" t="s">
        <v>26</v>
      </c>
      <c r="B21" s="49">
        <v>281968.33378316555</v>
      </c>
      <c r="C21" s="50">
        <f t="shared" si="1"/>
        <v>121579.7841</v>
      </c>
      <c r="D21" s="65">
        <v>0.4311824044652632</v>
      </c>
      <c r="E21" s="54">
        <v>0.10562877393095912</v>
      </c>
      <c r="F21" s="52">
        <f t="shared" si="2"/>
        <v>12842.32353</v>
      </c>
      <c r="G21" s="49">
        <f t="shared" si="3"/>
        <v>10856.6527</v>
      </c>
      <c r="H21" s="66">
        <v>0.08929652885378722</v>
      </c>
      <c r="I21" s="54">
        <f t="shared" si="4"/>
        <v>1.182898992</v>
      </c>
      <c r="J21" s="54">
        <f t="shared" si="5"/>
        <v>1120626.427</v>
      </c>
      <c r="K21" s="54">
        <v>103.22025189226616</v>
      </c>
      <c r="M21" s="14" t="s">
        <v>26</v>
      </c>
      <c r="N21" s="15">
        <v>281968.33378316555</v>
      </c>
      <c r="O21" s="16">
        <f t="shared" si="6"/>
        <v>121579.7841</v>
      </c>
      <c r="P21" s="24">
        <v>0.4311824044652632</v>
      </c>
      <c r="Q21" s="20">
        <v>0.10562877393095912</v>
      </c>
      <c r="R21" s="18">
        <f t="shared" si="7"/>
        <v>12842.32353</v>
      </c>
      <c r="S21" s="15">
        <f t="shared" si="8"/>
        <v>10856.6527</v>
      </c>
      <c r="T21" s="26">
        <v>0.08929652885378722</v>
      </c>
      <c r="U21" s="20">
        <f t="shared" si="9"/>
        <v>1.182898992</v>
      </c>
      <c r="V21" s="20">
        <f t="shared" si="10"/>
        <v>1120626.427</v>
      </c>
      <c r="W21" s="20">
        <v>103.22025189226616</v>
      </c>
      <c r="Y21" s="23">
        <f t="shared" si="11"/>
        <v>0</v>
      </c>
      <c r="Z21" s="23">
        <f t="shared" si="12"/>
        <v>0</v>
      </c>
    </row>
    <row r="22">
      <c r="A22" s="48" t="s">
        <v>27</v>
      </c>
      <c r="B22" s="50">
        <v>554628.0</v>
      </c>
      <c r="C22" s="50">
        <f t="shared" si="1"/>
        <v>152800.014</v>
      </c>
      <c r="D22" s="51">
        <v>0.2755</v>
      </c>
      <c r="E22" s="52">
        <v>0.18</v>
      </c>
      <c r="F22" s="52">
        <f t="shared" si="2"/>
        <v>27504.00252</v>
      </c>
      <c r="G22" s="49">
        <f t="shared" si="3"/>
        <v>8801.280806</v>
      </c>
      <c r="H22" s="53">
        <v>0.0576</v>
      </c>
      <c r="I22" s="54">
        <f t="shared" si="4"/>
        <v>3.125</v>
      </c>
      <c r="J22" s="54">
        <f t="shared" si="5"/>
        <v>902957.1838</v>
      </c>
      <c r="K22" s="54">
        <v>102.59383874640302</v>
      </c>
      <c r="M22" s="14" t="s">
        <v>27</v>
      </c>
      <c r="N22" s="16">
        <v>554628.0</v>
      </c>
      <c r="O22" s="16">
        <f t="shared" si="6"/>
        <v>152800.014</v>
      </c>
      <c r="P22" s="17">
        <v>0.2755</v>
      </c>
      <c r="Q22" s="18">
        <v>0.18</v>
      </c>
      <c r="R22" s="18">
        <f t="shared" si="7"/>
        <v>27504.00252</v>
      </c>
      <c r="S22" s="15">
        <f t="shared" si="8"/>
        <v>8801.280806</v>
      </c>
      <c r="T22" s="19">
        <v>0.0576</v>
      </c>
      <c r="U22" s="20">
        <f t="shared" si="9"/>
        <v>3.125</v>
      </c>
      <c r="V22" s="20">
        <f t="shared" si="10"/>
        <v>902957.1838</v>
      </c>
      <c r="W22" s="20">
        <v>102.59383874640302</v>
      </c>
      <c r="Y22" s="23">
        <f t="shared" si="11"/>
        <v>0</v>
      </c>
      <c r="Z22" s="23">
        <f t="shared" si="12"/>
        <v>0</v>
      </c>
    </row>
    <row r="23">
      <c r="A23" s="45" t="s">
        <v>28</v>
      </c>
      <c r="B23" s="67">
        <f t="shared" ref="B23:C23" si="13">sum(B11:B22)</f>
        <v>8700912.014</v>
      </c>
      <c r="C23" s="67">
        <f t="shared" si="13"/>
        <v>1499185.609</v>
      </c>
      <c r="D23" s="68">
        <f>C23/B23</f>
        <v>0.1723021226</v>
      </c>
      <c r="E23" s="69">
        <f>F23/C23</f>
        <v>0.1812008149</v>
      </c>
      <c r="F23" s="69">
        <f t="shared" ref="F23:G23" si="14">sum(F11:F22)</f>
        <v>271653.654</v>
      </c>
      <c r="G23" s="67">
        <f t="shared" si="14"/>
        <v>129133.5618</v>
      </c>
      <c r="H23" s="68">
        <f>G23/C23</f>
        <v>0.08613580669</v>
      </c>
      <c r="I23" s="69">
        <f t="shared" si="4"/>
        <v>2.103664224</v>
      </c>
      <c r="J23" s="69">
        <f>sum(J11:J22)</f>
        <v>13258146.7</v>
      </c>
      <c r="K23" s="69">
        <f>J23/G23</f>
        <v>102.6700303</v>
      </c>
      <c r="M23" s="8" t="s">
        <v>28</v>
      </c>
      <c r="N23" s="34">
        <f t="shared" ref="N23:O23" si="15">sum(N11:N22)</f>
        <v>4325815.319</v>
      </c>
      <c r="O23" s="34">
        <f t="shared" si="15"/>
        <v>1480665.158</v>
      </c>
      <c r="P23" s="35">
        <f>O23/N23</f>
        <v>0.3422858002</v>
      </c>
      <c r="Q23" s="36">
        <f>R23/O23</f>
        <v>0.1666186209</v>
      </c>
      <c r="R23" s="36">
        <f t="shared" ref="R23:S23" si="16">sum(R11:R22)</f>
        <v>246706.3867</v>
      </c>
      <c r="S23" s="34">
        <f t="shared" si="16"/>
        <v>123980.1666</v>
      </c>
      <c r="T23" s="35">
        <f>S23/O23</f>
        <v>0.08373275076</v>
      </c>
      <c r="U23" s="36">
        <f t="shared" si="9"/>
        <v>1.98988591</v>
      </c>
      <c r="V23" s="36">
        <f>sum(V11:V22)</f>
        <v>12996503.5</v>
      </c>
      <c r="W23" s="36">
        <f>V23/S23</f>
        <v>104.8272789</v>
      </c>
    </row>
    <row r="25">
      <c r="C25" s="1"/>
      <c r="E25" s="2"/>
      <c r="F25" s="2"/>
      <c r="J25" s="70"/>
    </row>
    <row r="26">
      <c r="A26" s="3" t="s">
        <v>38</v>
      </c>
      <c r="C26" s="1"/>
      <c r="E26" s="2"/>
      <c r="F26" s="2"/>
      <c r="I26" s="70"/>
      <c r="J26" s="70"/>
    </row>
    <row r="27">
      <c r="A27" s="3" t="s">
        <v>39</v>
      </c>
      <c r="C27" s="1"/>
      <c r="E27" s="2"/>
      <c r="F27" s="2"/>
    </row>
    <row r="28">
      <c r="C28" s="1"/>
      <c r="E28" s="2"/>
      <c r="F28" s="2"/>
    </row>
    <row r="29">
      <c r="C29" s="1"/>
      <c r="E29" s="2"/>
      <c r="F29" s="2"/>
    </row>
    <row r="30">
      <c r="B30" s="1"/>
      <c r="C30" s="1"/>
      <c r="E30" s="2"/>
      <c r="F30" s="2"/>
      <c r="G30" s="1"/>
      <c r="H30" s="23"/>
      <c r="I30" s="2"/>
      <c r="J30" s="2"/>
      <c r="K30" s="2"/>
    </row>
    <row r="31">
      <c r="B31" s="1"/>
      <c r="C31" s="1"/>
      <c r="D31" s="23"/>
      <c r="E31" s="2"/>
      <c r="F31" s="2"/>
      <c r="G31" s="1"/>
      <c r="H31" s="23"/>
      <c r="I31" s="2"/>
      <c r="J31" s="2"/>
      <c r="K31" s="2"/>
    </row>
    <row r="32">
      <c r="C32" s="1"/>
      <c r="E32" s="2"/>
      <c r="F32" s="2"/>
    </row>
    <row r="33">
      <c r="C33" s="1"/>
      <c r="E33" s="2"/>
      <c r="F33" s="2"/>
    </row>
    <row r="34">
      <c r="C34" s="1"/>
      <c r="E34" s="2"/>
      <c r="F34" s="2"/>
    </row>
    <row r="35">
      <c r="C35" s="1"/>
      <c r="E35" s="2"/>
      <c r="F35" s="2"/>
    </row>
    <row r="36">
      <c r="C36" s="1"/>
      <c r="E36" s="2"/>
      <c r="F36" s="2"/>
    </row>
    <row r="37">
      <c r="C37" s="1"/>
      <c r="E37" s="2"/>
      <c r="F37" s="2"/>
    </row>
    <row r="38">
      <c r="C38" s="1"/>
      <c r="E38" s="2"/>
      <c r="F38" s="2"/>
    </row>
    <row r="39">
      <c r="C39" s="1"/>
      <c r="E39" s="2"/>
      <c r="F39" s="2"/>
    </row>
    <row r="40">
      <c r="C40" s="1"/>
      <c r="E40" s="2"/>
      <c r="F40" s="2"/>
    </row>
    <row r="41">
      <c r="C41" s="1"/>
      <c r="E41" s="2"/>
      <c r="F41" s="2"/>
    </row>
    <row r="42">
      <c r="C42" s="1"/>
      <c r="E42" s="2"/>
      <c r="F42" s="2"/>
    </row>
    <row r="43">
      <c r="C43" s="1"/>
      <c r="E43" s="2"/>
      <c r="F43" s="2"/>
    </row>
    <row r="44">
      <c r="C44" s="1"/>
      <c r="E44" s="2"/>
      <c r="F44" s="2"/>
    </row>
    <row r="45">
      <c r="C45" s="1"/>
      <c r="E45" s="2"/>
      <c r="F45" s="2"/>
    </row>
    <row r="46">
      <c r="C46" s="1"/>
      <c r="E46" s="2"/>
      <c r="F46" s="2"/>
    </row>
    <row r="47">
      <c r="C47" s="1"/>
      <c r="E47" s="2"/>
      <c r="F47" s="2"/>
    </row>
    <row r="48">
      <c r="C48" s="1"/>
      <c r="E48" s="2"/>
      <c r="F48" s="2"/>
    </row>
    <row r="49">
      <c r="C49" s="1"/>
      <c r="E49" s="2"/>
      <c r="F49" s="2"/>
    </row>
    <row r="50">
      <c r="C50" s="1"/>
      <c r="E50" s="2"/>
      <c r="F50" s="2"/>
    </row>
    <row r="51">
      <c r="C51" s="1"/>
      <c r="E51" s="2"/>
      <c r="F51" s="2"/>
    </row>
    <row r="52">
      <c r="C52" s="1"/>
      <c r="E52" s="2"/>
      <c r="F52" s="2"/>
    </row>
    <row r="53">
      <c r="C53" s="1"/>
      <c r="E53" s="2"/>
      <c r="F53" s="2"/>
    </row>
    <row r="54">
      <c r="C54" s="1"/>
      <c r="E54" s="2"/>
      <c r="F54" s="2"/>
    </row>
    <row r="55">
      <c r="C55" s="1"/>
      <c r="E55" s="2"/>
      <c r="F55" s="2"/>
    </row>
    <row r="56">
      <c r="C56" s="1"/>
      <c r="E56" s="2"/>
      <c r="F56" s="2"/>
    </row>
    <row r="57">
      <c r="C57" s="1"/>
      <c r="E57" s="2"/>
      <c r="F57" s="2"/>
    </row>
    <row r="58">
      <c r="C58" s="1"/>
      <c r="E58" s="2"/>
      <c r="F58" s="2"/>
    </row>
    <row r="59">
      <c r="C59" s="1"/>
      <c r="E59" s="2"/>
      <c r="F59" s="2"/>
    </row>
    <row r="60">
      <c r="C60" s="1"/>
      <c r="E60" s="2"/>
      <c r="F60" s="2"/>
    </row>
    <row r="61">
      <c r="C61" s="1"/>
      <c r="E61" s="2"/>
      <c r="F61" s="2"/>
    </row>
    <row r="62">
      <c r="C62" s="1"/>
      <c r="E62" s="2"/>
      <c r="F62" s="2"/>
    </row>
    <row r="63">
      <c r="C63" s="1"/>
      <c r="E63" s="2"/>
      <c r="F63" s="2"/>
    </row>
    <row r="64">
      <c r="C64" s="1"/>
      <c r="E64" s="2"/>
      <c r="F64" s="2"/>
    </row>
    <row r="65">
      <c r="C65" s="1"/>
      <c r="E65" s="2"/>
      <c r="F65" s="2"/>
    </row>
    <row r="66">
      <c r="C66" s="1"/>
      <c r="E66" s="2"/>
      <c r="F66" s="2"/>
    </row>
    <row r="67">
      <c r="C67" s="1"/>
      <c r="E67" s="2"/>
      <c r="F67" s="2"/>
    </row>
    <row r="68">
      <c r="C68" s="1"/>
      <c r="E68" s="2"/>
      <c r="F68" s="2"/>
    </row>
    <row r="69">
      <c r="C69" s="1"/>
      <c r="E69" s="2"/>
      <c r="F69" s="2"/>
    </row>
    <row r="70">
      <c r="C70" s="1"/>
      <c r="E70" s="2"/>
      <c r="F70" s="2"/>
    </row>
    <row r="71">
      <c r="C71" s="1"/>
      <c r="E71" s="2"/>
      <c r="F71" s="2"/>
    </row>
    <row r="72">
      <c r="C72" s="1"/>
      <c r="E72" s="2"/>
      <c r="F72" s="2"/>
    </row>
    <row r="73">
      <c r="C73" s="1"/>
      <c r="E73" s="2"/>
      <c r="F73" s="2"/>
    </row>
    <row r="74">
      <c r="C74" s="1"/>
      <c r="E74" s="2"/>
      <c r="F74" s="2"/>
    </row>
    <row r="75">
      <c r="C75" s="1"/>
      <c r="E75" s="2"/>
      <c r="F75" s="2"/>
    </row>
    <row r="76">
      <c r="C76" s="1"/>
      <c r="E76" s="2"/>
      <c r="F76" s="2"/>
    </row>
    <row r="77">
      <c r="C77" s="1"/>
      <c r="E77" s="2"/>
      <c r="F77" s="2"/>
    </row>
    <row r="78">
      <c r="C78" s="1"/>
      <c r="E78" s="2"/>
      <c r="F78" s="2"/>
    </row>
    <row r="79">
      <c r="C79" s="1"/>
      <c r="E79" s="2"/>
      <c r="F79" s="2"/>
    </row>
    <row r="80">
      <c r="C80" s="1"/>
      <c r="E80" s="2"/>
      <c r="F80" s="2"/>
    </row>
    <row r="81">
      <c r="C81" s="1"/>
      <c r="E81" s="2"/>
      <c r="F81" s="2"/>
    </row>
    <row r="82">
      <c r="C82" s="1"/>
      <c r="E82" s="2"/>
      <c r="F82" s="2"/>
    </row>
    <row r="83">
      <c r="C83" s="1"/>
      <c r="E83" s="2"/>
      <c r="F83" s="2"/>
    </row>
    <row r="84">
      <c r="C84" s="1"/>
      <c r="E84" s="2"/>
      <c r="F84" s="2"/>
    </row>
    <row r="85">
      <c r="C85" s="1"/>
      <c r="E85" s="2"/>
      <c r="F85" s="2"/>
    </row>
    <row r="86">
      <c r="C86" s="1"/>
      <c r="E86" s="2"/>
      <c r="F86" s="2"/>
    </row>
    <row r="87">
      <c r="C87" s="1"/>
      <c r="E87" s="2"/>
      <c r="F87" s="2"/>
    </row>
    <row r="88">
      <c r="C88" s="1"/>
      <c r="E88" s="2"/>
      <c r="F88" s="2"/>
    </row>
    <row r="89">
      <c r="C89" s="1"/>
      <c r="E89" s="2"/>
      <c r="F89" s="2"/>
    </row>
    <row r="90">
      <c r="C90" s="1"/>
      <c r="E90" s="2"/>
      <c r="F90" s="2"/>
    </row>
    <row r="91">
      <c r="C91" s="1"/>
      <c r="E91" s="2"/>
      <c r="F91" s="2"/>
    </row>
    <row r="92">
      <c r="C92" s="1"/>
      <c r="E92" s="2"/>
      <c r="F92" s="2"/>
    </row>
    <row r="93">
      <c r="C93" s="1"/>
      <c r="E93" s="2"/>
      <c r="F93" s="2"/>
    </row>
    <row r="94">
      <c r="C94" s="1"/>
      <c r="E94" s="2"/>
      <c r="F94" s="2"/>
    </row>
    <row r="95">
      <c r="C95" s="1"/>
      <c r="E95" s="2"/>
      <c r="F95" s="2"/>
    </row>
    <row r="96">
      <c r="C96" s="1"/>
      <c r="E96" s="2"/>
      <c r="F96" s="2"/>
    </row>
    <row r="97">
      <c r="C97" s="1"/>
      <c r="E97" s="2"/>
      <c r="F97" s="2"/>
    </row>
    <row r="98">
      <c r="C98" s="1"/>
      <c r="E98" s="2"/>
      <c r="F98" s="2"/>
    </row>
    <row r="99">
      <c r="C99" s="1"/>
      <c r="E99" s="2"/>
      <c r="F99" s="2"/>
    </row>
    <row r="100">
      <c r="C100" s="1"/>
      <c r="E100" s="2"/>
      <c r="F100" s="2"/>
    </row>
    <row r="101">
      <c r="C101" s="1"/>
      <c r="E101" s="2"/>
      <c r="F101" s="2"/>
    </row>
    <row r="102">
      <c r="C102" s="1"/>
      <c r="E102" s="2"/>
      <c r="F102" s="2"/>
    </row>
    <row r="103">
      <c r="C103" s="1"/>
      <c r="E103" s="2"/>
      <c r="F103" s="2"/>
    </row>
    <row r="104">
      <c r="C104" s="1"/>
      <c r="E104" s="2"/>
      <c r="F104" s="2"/>
    </row>
    <row r="105">
      <c r="C105" s="1"/>
      <c r="E105" s="2"/>
      <c r="F105" s="2"/>
    </row>
    <row r="106">
      <c r="C106" s="1"/>
      <c r="E106" s="2"/>
      <c r="F106" s="2"/>
    </row>
    <row r="107">
      <c r="C107" s="1"/>
      <c r="E107" s="2"/>
      <c r="F107" s="2"/>
    </row>
    <row r="108">
      <c r="C108" s="1"/>
      <c r="E108" s="2"/>
      <c r="F108" s="2"/>
    </row>
    <row r="109">
      <c r="C109" s="1"/>
      <c r="E109" s="2"/>
      <c r="F109" s="2"/>
    </row>
    <row r="110">
      <c r="C110" s="1"/>
      <c r="E110" s="2"/>
      <c r="F110" s="2"/>
    </row>
    <row r="111">
      <c r="C111" s="1"/>
      <c r="E111" s="2"/>
      <c r="F111" s="2"/>
    </row>
    <row r="112">
      <c r="C112" s="1"/>
      <c r="E112" s="2"/>
      <c r="F112" s="2"/>
    </row>
    <row r="113">
      <c r="C113" s="1"/>
      <c r="E113" s="2"/>
      <c r="F113" s="2"/>
    </row>
    <row r="114">
      <c r="C114" s="1"/>
      <c r="E114" s="2"/>
      <c r="F114" s="2"/>
    </row>
    <row r="115">
      <c r="C115" s="1"/>
      <c r="E115" s="2"/>
      <c r="F115" s="2"/>
    </row>
    <row r="116">
      <c r="C116" s="1"/>
      <c r="E116" s="2"/>
      <c r="F116" s="2"/>
    </row>
    <row r="117">
      <c r="C117" s="1"/>
      <c r="E117" s="2"/>
      <c r="F117" s="2"/>
    </row>
    <row r="118">
      <c r="C118" s="1"/>
      <c r="E118" s="2"/>
      <c r="F118" s="2"/>
    </row>
    <row r="119">
      <c r="C119" s="1"/>
      <c r="E119" s="2"/>
      <c r="F119" s="2"/>
    </row>
    <row r="120">
      <c r="C120" s="1"/>
      <c r="E120" s="2"/>
      <c r="F120" s="2"/>
    </row>
    <row r="121">
      <c r="C121" s="1"/>
      <c r="E121" s="2"/>
      <c r="F121" s="2"/>
    </row>
    <row r="122">
      <c r="C122" s="1"/>
      <c r="E122" s="2"/>
      <c r="F122" s="2"/>
    </row>
    <row r="123">
      <c r="C123" s="1"/>
      <c r="E123" s="2"/>
      <c r="F123" s="2"/>
    </row>
    <row r="124">
      <c r="C124" s="1"/>
      <c r="E124" s="2"/>
      <c r="F124" s="2"/>
    </row>
    <row r="125">
      <c r="C125" s="1"/>
      <c r="E125" s="2"/>
      <c r="F125" s="2"/>
    </row>
    <row r="126">
      <c r="C126" s="1"/>
      <c r="E126" s="2"/>
      <c r="F126" s="2"/>
    </row>
    <row r="127">
      <c r="C127" s="1"/>
      <c r="E127" s="2"/>
      <c r="F127" s="2"/>
    </row>
    <row r="128">
      <c r="C128" s="1"/>
      <c r="E128" s="2"/>
      <c r="F128" s="2"/>
    </row>
    <row r="129">
      <c r="C129" s="1"/>
      <c r="E129" s="2"/>
      <c r="F129" s="2"/>
    </row>
    <row r="130">
      <c r="C130" s="1"/>
      <c r="E130" s="2"/>
      <c r="F130" s="2"/>
    </row>
    <row r="131">
      <c r="C131" s="1"/>
      <c r="E131" s="2"/>
      <c r="F131" s="2"/>
    </row>
    <row r="132">
      <c r="C132" s="1"/>
      <c r="E132" s="2"/>
      <c r="F132" s="2"/>
    </row>
    <row r="133">
      <c r="C133" s="1"/>
      <c r="E133" s="2"/>
      <c r="F133" s="2"/>
    </row>
    <row r="134">
      <c r="C134" s="1"/>
      <c r="E134" s="2"/>
      <c r="F134" s="2"/>
    </row>
    <row r="135">
      <c r="C135" s="1"/>
      <c r="E135" s="2"/>
      <c r="F135" s="2"/>
    </row>
    <row r="136">
      <c r="C136" s="1"/>
      <c r="E136" s="2"/>
      <c r="F136" s="2"/>
    </row>
    <row r="137">
      <c r="C137" s="1"/>
      <c r="E137" s="2"/>
      <c r="F137" s="2"/>
    </row>
    <row r="138">
      <c r="C138" s="1"/>
      <c r="E138" s="2"/>
      <c r="F138" s="2"/>
    </row>
    <row r="139">
      <c r="C139" s="1"/>
      <c r="E139" s="2"/>
      <c r="F139" s="2"/>
    </row>
    <row r="140">
      <c r="C140" s="1"/>
      <c r="E140" s="2"/>
      <c r="F140" s="2"/>
    </row>
    <row r="141">
      <c r="C141" s="1"/>
      <c r="E141" s="2"/>
      <c r="F141" s="2"/>
    </row>
    <row r="142">
      <c r="C142" s="1"/>
      <c r="E142" s="2"/>
      <c r="F142" s="2"/>
    </row>
    <row r="143">
      <c r="C143" s="1"/>
      <c r="E143" s="2"/>
      <c r="F143" s="2"/>
    </row>
    <row r="144">
      <c r="C144" s="1"/>
      <c r="E144" s="2"/>
      <c r="F144" s="2"/>
    </row>
    <row r="145">
      <c r="C145" s="1"/>
      <c r="E145" s="2"/>
      <c r="F145" s="2"/>
    </row>
    <row r="146">
      <c r="C146" s="1"/>
      <c r="E146" s="2"/>
      <c r="F146" s="2"/>
    </row>
    <row r="147">
      <c r="C147" s="1"/>
      <c r="E147" s="2"/>
      <c r="F147" s="2"/>
    </row>
    <row r="148">
      <c r="C148" s="1"/>
      <c r="E148" s="2"/>
      <c r="F148" s="2"/>
    </row>
    <row r="149">
      <c r="C149" s="1"/>
      <c r="E149" s="2"/>
      <c r="F149" s="2"/>
    </row>
    <row r="150">
      <c r="C150" s="1"/>
      <c r="E150" s="2"/>
      <c r="F150" s="2"/>
    </row>
    <row r="151">
      <c r="C151" s="1"/>
      <c r="E151" s="2"/>
      <c r="F151" s="2"/>
    </row>
    <row r="152">
      <c r="C152" s="1"/>
      <c r="E152" s="2"/>
      <c r="F152" s="2"/>
    </row>
    <row r="153">
      <c r="C153" s="1"/>
      <c r="E153" s="2"/>
      <c r="F153" s="2"/>
    </row>
    <row r="154">
      <c r="C154" s="1"/>
      <c r="E154" s="2"/>
      <c r="F154" s="2"/>
    </row>
    <row r="155">
      <c r="C155" s="1"/>
      <c r="E155" s="2"/>
      <c r="F155" s="2"/>
    </row>
    <row r="156">
      <c r="C156" s="1"/>
      <c r="E156" s="2"/>
      <c r="F156" s="2"/>
    </row>
    <row r="157">
      <c r="C157" s="1"/>
      <c r="E157" s="2"/>
      <c r="F157" s="2"/>
    </row>
    <row r="158">
      <c r="C158" s="1"/>
      <c r="E158" s="2"/>
      <c r="F158" s="2"/>
    </row>
    <row r="159">
      <c r="C159" s="1"/>
      <c r="E159" s="2"/>
      <c r="F159" s="2"/>
    </row>
    <row r="160">
      <c r="C160" s="1"/>
      <c r="E160" s="2"/>
      <c r="F160" s="2"/>
    </row>
    <row r="161">
      <c r="C161" s="1"/>
      <c r="E161" s="2"/>
      <c r="F161" s="2"/>
    </row>
    <row r="162">
      <c r="C162" s="1"/>
      <c r="E162" s="2"/>
      <c r="F162" s="2"/>
    </row>
    <row r="163">
      <c r="C163" s="1"/>
      <c r="E163" s="2"/>
      <c r="F163" s="2"/>
    </row>
    <row r="164">
      <c r="C164" s="1"/>
      <c r="E164" s="2"/>
      <c r="F164" s="2"/>
    </row>
    <row r="165">
      <c r="C165" s="1"/>
      <c r="E165" s="2"/>
      <c r="F165" s="2"/>
    </row>
    <row r="166">
      <c r="C166" s="1"/>
      <c r="E166" s="2"/>
      <c r="F166" s="2"/>
    </row>
    <row r="167">
      <c r="C167" s="1"/>
      <c r="E167" s="2"/>
      <c r="F167" s="2"/>
    </row>
    <row r="168">
      <c r="C168" s="1"/>
      <c r="E168" s="2"/>
      <c r="F168" s="2"/>
    </row>
    <row r="169">
      <c r="C169" s="1"/>
      <c r="E169" s="2"/>
      <c r="F169" s="2"/>
    </row>
    <row r="170">
      <c r="C170" s="1"/>
      <c r="E170" s="2"/>
      <c r="F170" s="2"/>
    </row>
    <row r="171">
      <c r="C171" s="1"/>
      <c r="E171" s="2"/>
      <c r="F171" s="2"/>
    </row>
    <row r="172">
      <c r="C172" s="1"/>
      <c r="E172" s="2"/>
      <c r="F172" s="2"/>
    </row>
    <row r="173">
      <c r="C173" s="1"/>
      <c r="E173" s="2"/>
      <c r="F173" s="2"/>
    </row>
    <row r="174">
      <c r="C174" s="1"/>
      <c r="E174" s="2"/>
      <c r="F174" s="2"/>
    </row>
    <row r="175">
      <c r="C175" s="1"/>
      <c r="E175" s="2"/>
      <c r="F175" s="2"/>
    </row>
    <row r="176">
      <c r="C176" s="1"/>
      <c r="E176" s="2"/>
      <c r="F176" s="2"/>
    </row>
    <row r="177">
      <c r="C177" s="1"/>
      <c r="E177" s="2"/>
      <c r="F177" s="2"/>
    </row>
    <row r="178">
      <c r="C178" s="1"/>
      <c r="E178" s="2"/>
      <c r="F178" s="2"/>
    </row>
    <row r="179">
      <c r="C179" s="1"/>
      <c r="E179" s="2"/>
      <c r="F179" s="2"/>
    </row>
    <row r="180">
      <c r="C180" s="1"/>
      <c r="E180" s="2"/>
      <c r="F180" s="2"/>
    </row>
    <row r="181">
      <c r="C181" s="1"/>
      <c r="E181" s="2"/>
      <c r="F181" s="2"/>
    </row>
    <row r="182">
      <c r="C182" s="1"/>
      <c r="E182" s="2"/>
      <c r="F182" s="2"/>
    </row>
    <row r="183">
      <c r="C183" s="1"/>
      <c r="E183" s="2"/>
      <c r="F183" s="2"/>
    </row>
    <row r="184">
      <c r="C184" s="1"/>
      <c r="E184" s="2"/>
      <c r="F184" s="2"/>
    </row>
    <row r="185">
      <c r="C185" s="1"/>
      <c r="E185" s="2"/>
      <c r="F185" s="2"/>
    </row>
    <row r="186">
      <c r="C186" s="1"/>
      <c r="E186" s="2"/>
      <c r="F186" s="2"/>
    </row>
    <row r="187">
      <c r="C187" s="1"/>
      <c r="E187" s="2"/>
      <c r="F187" s="2"/>
    </row>
    <row r="188">
      <c r="C188" s="1"/>
      <c r="E188" s="2"/>
      <c r="F188" s="2"/>
    </row>
    <row r="189">
      <c r="C189" s="1"/>
      <c r="E189" s="2"/>
      <c r="F189" s="2"/>
    </row>
    <row r="190">
      <c r="C190" s="1"/>
      <c r="E190" s="2"/>
      <c r="F190" s="2"/>
    </row>
    <row r="191">
      <c r="C191" s="1"/>
      <c r="E191" s="2"/>
      <c r="F191" s="2"/>
    </row>
    <row r="192">
      <c r="C192" s="1"/>
      <c r="E192" s="2"/>
      <c r="F192" s="2"/>
    </row>
    <row r="193">
      <c r="C193" s="1"/>
      <c r="E193" s="2"/>
      <c r="F193" s="2"/>
    </row>
    <row r="194">
      <c r="C194" s="1"/>
      <c r="E194" s="2"/>
      <c r="F194" s="2"/>
    </row>
    <row r="195">
      <c r="C195" s="1"/>
      <c r="E195" s="2"/>
      <c r="F195" s="2"/>
    </row>
    <row r="196">
      <c r="C196" s="1"/>
      <c r="E196" s="2"/>
      <c r="F196" s="2"/>
    </row>
    <row r="197">
      <c r="C197" s="1"/>
      <c r="E197" s="2"/>
      <c r="F197" s="2"/>
    </row>
    <row r="198">
      <c r="C198" s="1"/>
      <c r="E198" s="2"/>
      <c r="F198" s="2"/>
    </row>
    <row r="199">
      <c r="C199" s="1"/>
      <c r="E199" s="2"/>
      <c r="F199" s="2"/>
    </row>
    <row r="200">
      <c r="C200" s="1"/>
      <c r="E200" s="2"/>
      <c r="F200" s="2"/>
    </row>
    <row r="201">
      <c r="C201" s="1"/>
      <c r="E201" s="2"/>
      <c r="F201" s="2"/>
    </row>
    <row r="202">
      <c r="C202" s="1"/>
      <c r="E202" s="2"/>
      <c r="F202" s="2"/>
    </row>
    <row r="203">
      <c r="C203" s="1"/>
      <c r="E203" s="2"/>
      <c r="F203" s="2"/>
    </row>
    <row r="204">
      <c r="C204" s="1"/>
      <c r="E204" s="2"/>
      <c r="F204" s="2"/>
    </row>
    <row r="205">
      <c r="C205" s="1"/>
      <c r="E205" s="2"/>
      <c r="F205" s="2"/>
    </row>
    <row r="206">
      <c r="C206" s="1"/>
      <c r="E206" s="2"/>
      <c r="F206" s="2"/>
    </row>
    <row r="207">
      <c r="C207" s="1"/>
      <c r="E207" s="2"/>
      <c r="F207" s="2"/>
    </row>
    <row r="208">
      <c r="C208" s="1"/>
      <c r="E208" s="2"/>
      <c r="F208" s="2"/>
    </row>
    <row r="209">
      <c r="C209" s="1"/>
      <c r="E209" s="2"/>
      <c r="F209" s="2"/>
    </row>
    <row r="210">
      <c r="C210" s="1"/>
      <c r="E210" s="2"/>
      <c r="F210" s="2"/>
    </row>
    <row r="211">
      <c r="C211" s="1"/>
      <c r="E211" s="2"/>
      <c r="F211" s="2"/>
    </row>
    <row r="212">
      <c r="C212" s="1"/>
      <c r="E212" s="2"/>
      <c r="F212" s="2"/>
    </row>
    <row r="213">
      <c r="C213" s="1"/>
      <c r="E213" s="2"/>
      <c r="F213" s="2"/>
    </row>
    <row r="214">
      <c r="C214" s="1"/>
      <c r="E214" s="2"/>
      <c r="F214" s="2"/>
    </row>
    <row r="215">
      <c r="C215" s="1"/>
      <c r="E215" s="2"/>
      <c r="F215" s="2"/>
    </row>
    <row r="216">
      <c r="C216" s="1"/>
      <c r="E216" s="2"/>
      <c r="F216" s="2"/>
    </row>
    <row r="217">
      <c r="C217" s="1"/>
      <c r="E217" s="2"/>
      <c r="F217" s="2"/>
    </row>
    <row r="218">
      <c r="C218" s="1"/>
      <c r="E218" s="2"/>
      <c r="F218" s="2"/>
    </row>
    <row r="219">
      <c r="C219" s="1"/>
      <c r="E219" s="2"/>
      <c r="F219" s="2"/>
    </row>
    <row r="220">
      <c r="C220" s="1"/>
      <c r="E220" s="2"/>
      <c r="F220" s="2"/>
    </row>
    <row r="221">
      <c r="C221" s="1"/>
      <c r="E221" s="2"/>
      <c r="F221" s="2"/>
    </row>
    <row r="222">
      <c r="C222" s="1"/>
      <c r="E222" s="2"/>
      <c r="F222" s="2"/>
    </row>
    <row r="223">
      <c r="C223" s="1"/>
      <c r="E223" s="2"/>
      <c r="F223" s="2"/>
    </row>
    <row r="224">
      <c r="C224" s="1"/>
      <c r="E224" s="2"/>
      <c r="F224" s="2"/>
    </row>
    <row r="225">
      <c r="C225" s="1"/>
      <c r="E225" s="2"/>
      <c r="F225" s="2"/>
    </row>
    <row r="226">
      <c r="C226" s="1"/>
      <c r="E226" s="2"/>
      <c r="F226" s="2"/>
    </row>
    <row r="227">
      <c r="C227" s="1"/>
      <c r="E227" s="2"/>
      <c r="F227" s="2"/>
    </row>
    <row r="228">
      <c r="C228" s="1"/>
      <c r="E228" s="2"/>
      <c r="F228" s="2"/>
    </row>
    <row r="229">
      <c r="C229" s="1"/>
      <c r="E229" s="2"/>
      <c r="F229" s="2"/>
    </row>
    <row r="230">
      <c r="C230" s="1"/>
      <c r="E230" s="2"/>
      <c r="F230" s="2"/>
    </row>
    <row r="231">
      <c r="C231" s="1"/>
      <c r="E231" s="2"/>
      <c r="F231" s="2"/>
    </row>
    <row r="232">
      <c r="C232" s="1"/>
      <c r="E232" s="2"/>
      <c r="F232" s="2"/>
    </row>
    <row r="233">
      <c r="C233" s="1"/>
      <c r="E233" s="2"/>
      <c r="F233" s="2"/>
    </row>
    <row r="234">
      <c r="C234" s="1"/>
      <c r="E234" s="2"/>
      <c r="F234" s="2"/>
    </row>
    <row r="235">
      <c r="C235" s="1"/>
      <c r="E235" s="2"/>
      <c r="F235" s="2"/>
    </row>
    <row r="236">
      <c r="C236" s="1"/>
      <c r="E236" s="2"/>
      <c r="F236" s="2"/>
    </row>
    <row r="237">
      <c r="C237" s="1"/>
      <c r="E237" s="2"/>
      <c r="F237" s="2"/>
    </row>
    <row r="238">
      <c r="C238" s="1"/>
      <c r="E238" s="2"/>
      <c r="F238" s="2"/>
    </row>
    <row r="239">
      <c r="C239" s="1"/>
      <c r="E239" s="2"/>
      <c r="F239" s="2"/>
    </row>
    <row r="240">
      <c r="C240" s="1"/>
      <c r="E240" s="2"/>
      <c r="F240" s="2"/>
    </row>
    <row r="241">
      <c r="C241" s="1"/>
      <c r="E241" s="2"/>
      <c r="F241" s="2"/>
    </row>
    <row r="242">
      <c r="C242" s="1"/>
      <c r="E242" s="2"/>
      <c r="F242" s="2"/>
    </row>
    <row r="243">
      <c r="C243" s="1"/>
      <c r="E243" s="2"/>
      <c r="F243" s="2"/>
    </row>
    <row r="244">
      <c r="C244" s="1"/>
      <c r="E244" s="2"/>
      <c r="F244" s="2"/>
    </row>
    <row r="245">
      <c r="C245" s="1"/>
      <c r="E245" s="2"/>
      <c r="F245" s="2"/>
    </row>
    <row r="246">
      <c r="C246" s="1"/>
      <c r="E246" s="2"/>
      <c r="F246" s="2"/>
    </row>
    <row r="247">
      <c r="C247" s="1"/>
      <c r="E247" s="2"/>
      <c r="F247" s="2"/>
    </row>
    <row r="248">
      <c r="C248" s="1"/>
      <c r="E248" s="2"/>
      <c r="F248" s="2"/>
    </row>
    <row r="249">
      <c r="C249" s="1"/>
      <c r="E249" s="2"/>
      <c r="F249" s="2"/>
    </row>
    <row r="250">
      <c r="C250" s="1"/>
      <c r="E250" s="2"/>
      <c r="F250" s="2"/>
    </row>
    <row r="251">
      <c r="C251" s="1"/>
      <c r="E251" s="2"/>
      <c r="F251" s="2"/>
    </row>
    <row r="252">
      <c r="C252" s="1"/>
      <c r="E252" s="2"/>
      <c r="F252" s="2"/>
    </row>
    <row r="253">
      <c r="C253" s="1"/>
      <c r="E253" s="2"/>
      <c r="F253" s="2"/>
    </row>
    <row r="254">
      <c r="C254" s="1"/>
      <c r="E254" s="2"/>
      <c r="F254" s="2"/>
    </row>
    <row r="255">
      <c r="C255" s="1"/>
      <c r="E255" s="2"/>
      <c r="F255" s="2"/>
    </row>
    <row r="256">
      <c r="C256" s="1"/>
      <c r="E256" s="2"/>
      <c r="F256" s="2"/>
    </row>
    <row r="257">
      <c r="C257" s="1"/>
      <c r="E257" s="2"/>
      <c r="F257" s="2"/>
    </row>
    <row r="258">
      <c r="C258" s="1"/>
      <c r="E258" s="2"/>
      <c r="F258" s="2"/>
    </row>
    <row r="259">
      <c r="C259" s="1"/>
      <c r="E259" s="2"/>
      <c r="F259" s="2"/>
    </row>
    <row r="260">
      <c r="C260" s="1"/>
      <c r="E260" s="2"/>
      <c r="F260" s="2"/>
    </row>
    <row r="261">
      <c r="C261" s="1"/>
      <c r="E261" s="2"/>
      <c r="F261" s="2"/>
    </row>
    <row r="262">
      <c r="C262" s="1"/>
      <c r="E262" s="2"/>
      <c r="F262" s="2"/>
    </row>
    <row r="263">
      <c r="C263" s="1"/>
      <c r="E263" s="2"/>
      <c r="F263" s="2"/>
    </row>
    <row r="264">
      <c r="C264" s="1"/>
      <c r="E264" s="2"/>
      <c r="F264" s="2"/>
    </row>
    <row r="265">
      <c r="C265" s="1"/>
      <c r="E265" s="2"/>
      <c r="F265" s="2"/>
    </row>
    <row r="266">
      <c r="C266" s="1"/>
      <c r="E266" s="2"/>
      <c r="F266" s="2"/>
    </row>
    <row r="267">
      <c r="C267" s="1"/>
      <c r="E267" s="2"/>
      <c r="F267" s="2"/>
    </row>
    <row r="268">
      <c r="C268" s="1"/>
      <c r="E268" s="2"/>
      <c r="F268" s="2"/>
    </row>
    <row r="269">
      <c r="C269" s="1"/>
      <c r="E269" s="2"/>
      <c r="F269" s="2"/>
    </row>
    <row r="270">
      <c r="C270" s="1"/>
      <c r="E270" s="2"/>
      <c r="F270" s="2"/>
    </row>
    <row r="271">
      <c r="C271" s="1"/>
      <c r="E271" s="2"/>
      <c r="F271" s="2"/>
    </row>
    <row r="272">
      <c r="C272" s="1"/>
      <c r="E272" s="2"/>
      <c r="F272" s="2"/>
    </row>
    <row r="273">
      <c r="C273" s="1"/>
      <c r="E273" s="2"/>
      <c r="F273" s="2"/>
    </row>
    <row r="274">
      <c r="C274" s="1"/>
      <c r="E274" s="2"/>
      <c r="F274" s="2"/>
    </row>
    <row r="275">
      <c r="C275" s="1"/>
      <c r="E275" s="2"/>
      <c r="F275" s="2"/>
    </row>
    <row r="276">
      <c r="C276" s="1"/>
      <c r="E276" s="2"/>
      <c r="F276" s="2"/>
    </row>
    <row r="277">
      <c r="C277" s="1"/>
      <c r="E277" s="2"/>
      <c r="F277" s="2"/>
    </row>
    <row r="278">
      <c r="C278" s="1"/>
      <c r="E278" s="2"/>
      <c r="F278" s="2"/>
    </row>
    <row r="279">
      <c r="C279" s="1"/>
      <c r="E279" s="2"/>
      <c r="F279" s="2"/>
    </row>
    <row r="280">
      <c r="C280" s="1"/>
      <c r="E280" s="2"/>
      <c r="F280" s="2"/>
    </row>
    <row r="281">
      <c r="C281" s="1"/>
      <c r="E281" s="2"/>
      <c r="F281" s="2"/>
    </row>
    <row r="282">
      <c r="C282" s="1"/>
      <c r="E282" s="2"/>
      <c r="F282" s="2"/>
    </row>
    <row r="283">
      <c r="C283" s="1"/>
      <c r="E283" s="2"/>
      <c r="F283" s="2"/>
    </row>
    <row r="284">
      <c r="C284" s="1"/>
      <c r="E284" s="2"/>
      <c r="F284" s="2"/>
    </row>
    <row r="285">
      <c r="C285" s="1"/>
      <c r="E285" s="2"/>
      <c r="F285" s="2"/>
    </row>
    <row r="286">
      <c r="C286" s="1"/>
      <c r="E286" s="2"/>
      <c r="F286" s="2"/>
    </row>
    <row r="287">
      <c r="C287" s="1"/>
      <c r="E287" s="2"/>
      <c r="F287" s="2"/>
    </row>
    <row r="288">
      <c r="C288" s="1"/>
      <c r="E288" s="2"/>
      <c r="F288" s="2"/>
    </row>
    <row r="289">
      <c r="C289" s="1"/>
      <c r="E289" s="2"/>
      <c r="F289" s="2"/>
    </row>
    <row r="290">
      <c r="C290" s="1"/>
      <c r="E290" s="2"/>
      <c r="F290" s="2"/>
    </row>
    <row r="291">
      <c r="C291" s="1"/>
      <c r="E291" s="2"/>
      <c r="F291" s="2"/>
    </row>
    <row r="292">
      <c r="C292" s="1"/>
      <c r="E292" s="2"/>
      <c r="F292" s="2"/>
    </row>
    <row r="293">
      <c r="C293" s="1"/>
      <c r="E293" s="2"/>
      <c r="F293" s="2"/>
    </row>
    <row r="294">
      <c r="C294" s="1"/>
      <c r="E294" s="2"/>
      <c r="F294" s="2"/>
    </row>
    <row r="295">
      <c r="C295" s="1"/>
      <c r="E295" s="2"/>
      <c r="F295" s="2"/>
    </row>
    <row r="296">
      <c r="C296" s="1"/>
      <c r="E296" s="2"/>
      <c r="F296" s="2"/>
    </row>
    <row r="297">
      <c r="C297" s="1"/>
      <c r="E297" s="2"/>
      <c r="F297" s="2"/>
    </row>
    <row r="298">
      <c r="C298" s="1"/>
      <c r="E298" s="2"/>
      <c r="F298" s="2"/>
    </row>
    <row r="299">
      <c r="C299" s="1"/>
      <c r="E299" s="2"/>
      <c r="F299" s="2"/>
    </row>
    <row r="300">
      <c r="C300" s="1"/>
      <c r="E300" s="2"/>
      <c r="F300" s="2"/>
    </row>
    <row r="301">
      <c r="C301" s="1"/>
      <c r="E301" s="2"/>
      <c r="F301" s="2"/>
    </row>
    <row r="302">
      <c r="C302" s="1"/>
      <c r="E302" s="2"/>
      <c r="F302" s="2"/>
    </row>
    <row r="303">
      <c r="C303" s="1"/>
      <c r="E303" s="2"/>
      <c r="F303" s="2"/>
    </row>
    <row r="304">
      <c r="C304" s="1"/>
      <c r="E304" s="2"/>
      <c r="F304" s="2"/>
    </row>
    <row r="305">
      <c r="C305" s="1"/>
      <c r="E305" s="2"/>
      <c r="F305" s="2"/>
    </row>
    <row r="306">
      <c r="C306" s="1"/>
      <c r="E306" s="2"/>
      <c r="F306" s="2"/>
    </row>
    <row r="307">
      <c r="C307" s="1"/>
      <c r="E307" s="2"/>
      <c r="F307" s="2"/>
    </row>
    <row r="308">
      <c r="C308" s="1"/>
      <c r="E308" s="2"/>
      <c r="F308" s="2"/>
    </row>
    <row r="309">
      <c r="C309" s="1"/>
      <c r="E309" s="2"/>
      <c r="F309" s="2"/>
    </row>
    <row r="310">
      <c r="C310" s="1"/>
      <c r="E310" s="2"/>
      <c r="F310" s="2"/>
    </row>
    <row r="311">
      <c r="C311" s="1"/>
      <c r="E311" s="2"/>
      <c r="F311" s="2"/>
    </row>
    <row r="312">
      <c r="C312" s="1"/>
      <c r="E312" s="2"/>
      <c r="F312" s="2"/>
    </row>
    <row r="313">
      <c r="C313" s="1"/>
      <c r="E313" s="2"/>
      <c r="F313" s="2"/>
    </row>
    <row r="314">
      <c r="C314" s="1"/>
      <c r="E314" s="2"/>
      <c r="F314" s="2"/>
    </row>
    <row r="315">
      <c r="C315" s="1"/>
      <c r="E315" s="2"/>
      <c r="F315" s="2"/>
    </row>
    <row r="316">
      <c r="C316" s="1"/>
      <c r="E316" s="2"/>
      <c r="F316" s="2"/>
    </row>
    <row r="317">
      <c r="C317" s="1"/>
      <c r="E317" s="2"/>
      <c r="F317" s="2"/>
    </row>
    <row r="318">
      <c r="C318" s="1"/>
      <c r="E318" s="2"/>
      <c r="F318" s="2"/>
    </row>
    <row r="319">
      <c r="C319" s="1"/>
      <c r="E319" s="2"/>
      <c r="F319" s="2"/>
    </row>
    <row r="320">
      <c r="C320" s="1"/>
      <c r="E320" s="2"/>
      <c r="F320" s="2"/>
    </row>
    <row r="321">
      <c r="C321" s="1"/>
      <c r="E321" s="2"/>
      <c r="F321" s="2"/>
    </row>
    <row r="322">
      <c r="C322" s="1"/>
      <c r="E322" s="2"/>
      <c r="F322" s="2"/>
    </row>
    <row r="323">
      <c r="C323" s="1"/>
      <c r="E323" s="2"/>
      <c r="F323" s="2"/>
    </row>
    <row r="324">
      <c r="C324" s="1"/>
      <c r="E324" s="2"/>
      <c r="F324" s="2"/>
    </row>
    <row r="325">
      <c r="C325" s="1"/>
      <c r="E325" s="2"/>
      <c r="F325" s="2"/>
    </row>
    <row r="326">
      <c r="C326" s="1"/>
      <c r="E326" s="2"/>
      <c r="F326" s="2"/>
    </row>
    <row r="327">
      <c r="C327" s="1"/>
      <c r="E327" s="2"/>
      <c r="F327" s="2"/>
    </row>
    <row r="328">
      <c r="C328" s="1"/>
      <c r="E328" s="2"/>
      <c r="F328" s="2"/>
    </row>
    <row r="329">
      <c r="C329" s="1"/>
      <c r="E329" s="2"/>
      <c r="F329" s="2"/>
    </row>
    <row r="330">
      <c r="C330" s="1"/>
      <c r="E330" s="2"/>
      <c r="F330" s="2"/>
    </row>
    <row r="331">
      <c r="C331" s="1"/>
      <c r="E331" s="2"/>
      <c r="F331" s="2"/>
    </row>
    <row r="332">
      <c r="C332" s="1"/>
      <c r="E332" s="2"/>
      <c r="F332" s="2"/>
    </row>
    <row r="333">
      <c r="C333" s="1"/>
      <c r="E333" s="2"/>
      <c r="F333" s="2"/>
    </row>
    <row r="334">
      <c r="C334" s="1"/>
      <c r="E334" s="2"/>
      <c r="F334" s="2"/>
    </row>
    <row r="335">
      <c r="C335" s="1"/>
      <c r="E335" s="2"/>
      <c r="F335" s="2"/>
    </row>
    <row r="336">
      <c r="C336" s="1"/>
      <c r="E336" s="2"/>
      <c r="F336" s="2"/>
    </row>
    <row r="337">
      <c r="C337" s="1"/>
      <c r="E337" s="2"/>
      <c r="F337" s="2"/>
    </row>
    <row r="338">
      <c r="C338" s="1"/>
      <c r="E338" s="2"/>
      <c r="F338" s="2"/>
    </row>
    <row r="339">
      <c r="C339" s="1"/>
      <c r="E339" s="2"/>
      <c r="F339" s="2"/>
    </row>
    <row r="340">
      <c r="C340" s="1"/>
      <c r="E340" s="2"/>
      <c r="F340" s="2"/>
    </row>
    <row r="341">
      <c r="C341" s="1"/>
      <c r="E341" s="2"/>
      <c r="F341" s="2"/>
    </row>
    <row r="342">
      <c r="C342" s="1"/>
      <c r="E342" s="2"/>
      <c r="F342" s="2"/>
    </row>
    <row r="343">
      <c r="C343" s="1"/>
      <c r="E343" s="2"/>
      <c r="F343" s="2"/>
    </row>
    <row r="344">
      <c r="C344" s="1"/>
      <c r="E344" s="2"/>
      <c r="F344" s="2"/>
    </row>
    <row r="345">
      <c r="C345" s="1"/>
      <c r="E345" s="2"/>
      <c r="F345" s="2"/>
    </row>
    <row r="346">
      <c r="C346" s="1"/>
      <c r="E346" s="2"/>
      <c r="F346" s="2"/>
    </row>
    <row r="347">
      <c r="C347" s="1"/>
      <c r="E347" s="2"/>
      <c r="F347" s="2"/>
    </row>
    <row r="348">
      <c r="C348" s="1"/>
      <c r="E348" s="2"/>
      <c r="F348" s="2"/>
    </row>
    <row r="349">
      <c r="C349" s="1"/>
      <c r="E349" s="2"/>
      <c r="F349" s="2"/>
    </row>
    <row r="350">
      <c r="C350" s="1"/>
      <c r="E350" s="2"/>
      <c r="F350" s="2"/>
    </row>
    <row r="351">
      <c r="C351" s="1"/>
      <c r="E351" s="2"/>
      <c r="F351" s="2"/>
    </row>
    <row r="352">
      <c r="C352" s="1"/>
      <c r="E352" s="2"/>
      <c r="F352" s="2"/>
    </row>
    <row r="353">
      <c r="C353" s="1"/>
      <c r="E353" s="2"/>
      <c r="F353" s="2"/>
    </row>
    <row r="354">
      <c r="C354" s="1"/>
      <c r="E354" s="2"/>
      <c r="F354" s="2"/>
    </row>
    <row r="355">
      <c r="C355" s="1"/>
      <c r="E355" s="2"/>
      <c r="F355" s="2"/>
    </row>
    <row r="356">
      <c r="C356" s="1"/>
      <c r="E356" s="2"/>
      <c r="F356" s="2"/>
    </row>
    <row r="357">
      <c r="C357" s="1"/>
      <c r="E357" s="2"/>
      <c r="F357" s="2"/>
    </row>
    <row r="358">
      <c r="C358" s="1"/>
      <c r="E358" s="2"/>
      <c r="F358" s="2"/>
    </row>
    <row r="359">
      <c r="C359" s="1"/>
      <c r="E359" s="2"/>
      <c r="F359" s="2"/>
    </row>
    <row r="360">
      <c r="C360" s="1"/>
      <c r="E360" s="2"/>
      <c r="F360" s="2"/>
    </row>
    <row r="361">
      <c r="C361" s="1"/>
      <c r="E361" s="2"/>
      <c r="F361" s="2"/>
    </row>
    <row r="362">
      <c r="C362" s="1"/>
      <c r="E362" s="2"/>
      <c r="F362" s="2"/>
    </row>
    <row r="363">
      <c r="C363" s="1"/>
      <c r="E363" s="2"/>
      <c r="F363" s="2"/>
    </row>
    <row r="364">
      <c r="C364" s="1"/>
      <c r="E364" s="2"/>
      <c r="F364" s="2"/>
    </row>
    <row r="365">
      <c r="C365" s="1"/>
      <c r="E365" s="2"/>
      <c r="F365" s="2"/>
    </row>
    <row r="366">
      <c r="C366" s="1"/>
      <c r="E366" s="2"/>
      <c r="F366" s="2"/>
    </row>
    <row r="367">
      <c r="C367" s="1"/>
      <c r="E367" s="2"/>
      <c r="F367" s="2"/>
    </row>
    <row r="368">
      <c r="C368" s="1"/>
      <c r="E368" s="2"/>
      <c r="F368" s="2"/>
    </row>
    <row r="369">
      <c r="C369" s="1"/>
      <c r="E369" s="2"/>
      <c r="F369" s="2"/>
    </row>
    <row r="370">
      <c r="C370" s="1"/>
      <c r="E370" s="2"/>
      <c r="F370" s="2"/>
    </row>
    <row r="371">
      <c r="C371" s="1"/>
      <c r="E371" s="2"/>
      <c r="F371" s="2"/>
    </row>
    <row r="372">
      <c r="C372" s="1"/>
      <c r="E372" s="2"/>
      <c r="F372" s="2"/>
    </row>
    <row r="373">
      <c r="C373" s="1"/>
      <c r="E373" s="2"/>
      <c r="F373" s="2"/>
    </row>
    <row r="374">
      <c r="C374" s="1"/>
      <c r="E374" s="2"/>
      <c r="F374" s="2"/>
    </row>
    <row r="375">
      <c r="C375" s="1"/>
      <c r="E375" s="2"/>
      <c r="F375" s="2"/>
    </row>
    <row r="376">
      <c r="C376" s="1"/>
      <c r="E376" s="2"/>
      <c r="F376" s="2"/>
    </row>
    <row r="377">
      <c r="C377" s="1"/>
      <c r="E377" s="2"/>
      <c r="F377" s="2"/>
    </row>
    <row r="378">
      <c r="C378" s="1"/>
      <c r="E378" s="2"/>
      <c r="F378" s="2"/>
    </row>
    <row r="379">
      <c r="C379" s="1"/>
      <c r="E379" s="2"/>
      <c r="F379" s="2"/>
    </row>
    <row r="380">
      <c r="C380" s="1"/>
      <c r="E380" s="2"/>
      <c r="F380" s="2"/>
    </row>
    <row r="381">
      <c r="C381" s="1"/>
      <c r="E381" s="2"/>
      <c r="F381" s="2"/>
    </row>
    <row r="382">
      <c r="C382" s="1"/>
      <c r="E382" s="2"/>
      <c r="F382" s="2"/>
    </row>
    <row r="383">
      <c r="C383" s="1"/>
      <c r="E383" s="2"/>
      <c r="F383" s="2"/>
    </row>
    <row r="384">
      <c r="C384" s="1"/>
      <c r="E384" s="2"/>
      <c r="F384" s="2"/>
    </row>
    <row r="385">
      <c r="C385" s="1"/>
      <c r="E385" s="2"/>
      <c r="F385" s="2"/>
    </row>
    <row r="386">
      <c r="C386" s="1"/>
      <c r="E386" s="2"/>
      <c r="F386" s="2"/>
    </row>
    <row r="387">
      <c r="C387" s="1"/>
      <c r="E387" s="2"/>
      <c r="F387" s="2"/>
    </row>
    <row r="388">
      <c r="C388" s="1"/>
      <c r="E388" s="2"/>
      <c r="F388" s="2"/>
    </row>
    <row r="389">
      <c r="C389" s="1"/>
      <c r="E389" s="2"/>
      <c r="F389" s="2"/>
    </row>
    <row r="390">
      <c r="C390" s="1"/>
      <c r="E390" s="2"/>
      <c r="F390" s="2"/>
    </row>
    <row r="391">
      <c r="C391" s="1"/>
      <c r="E391" s="2"/>
      <c r="F391" s="2"/>
    </row>
    <row r="392">
      <c r="C392" s="1"/>
      <c r="E392" s="2"/>
      <c r="F392" s="2"/>
    </row>
    <row r="393">
      <c r="C393" s="1"/>
      <c r="E393" s="2"/>
      <c r="F393" s="2"/>
    </row>
    <row r="394">
      <c r="C394" s="1"/>
      <c r="E394" s="2"/>
      <c r="F394" s="2"/>
    </row>
    <row r="395">
      <c r="C395" s="1"/>
      <c r="E395" s="2"/>
      <c r="F395" s="2"/>
    </row>
    <row r="396">
      <c r="C396" s="1"/>
      <c r="E396" s="2"/>
      <c r="F396" s="2"/>
    </row>
    <row r="397">
      <c r="C397" s="1"/>
      <c r="E397" s="2"/>
      <c r="F397" s="2"/>
    </row>
    <row r="398">
      <c r="C398" s="1"/>
      <c r="E398" s="2"/>
      <c r="F398" s="2"/>
    </row>
    <row r="399">
      <c r="C399" s="1"/>
      <c r="E399" s="2"/>
      <c r="F399" s="2"/>
    </row>
    <row r="400">
      <c r="C400" s="1"/>
      <c r="E400" s="2"/>
      <c r="F400" s="2"/>
    </row>
    <row r="401">
      <c r="C401" s="1"/>
      <c r="E401" s="2"/>
      <c r="F401" s="2"/>
    </row>
    <row r="402">
      <c r="C402" s="1"/>
      <c r="E402" s="2"/>
      <c r="F402" s="2"/>
    </row>
    <row r="403">
      <c r="C403" s="1"/>
      <c r="E403" s="2"/>
      <c r="F403" s="2"/>
    </row>
    <row r="404">
      <c r="C404" s="1"/>
      <c r="E404" s="2"/>
      <c r="F404" s="2"/>
    </row>
    <row r="405">
      <c r="C405" s="1"/>
      <c r="E405" s="2"/>
      <c r="F405" s="2"/>
    </row>
    <row r="406">
      <c r="C406" s="1"/>
      <c r="E406" s="2"/>
      <c r="F406" s="2"/>
    </row>
    <row r="407">
      <c r="C407" s="1"/>
      <c r="E407" s="2"/>
      <c r="F407" s="2"/>
    </row>
    <row r="408">
      <c r="C408" s="1"/>
      <c r="E408" s="2"/>
      <c r="F408" s="2"/>
    </row>
    <row r="409">
      <c r="C409" s="1"/>
      <c r="E409" s="2"/>
      <c r="F409" s="2"/>
    </row>
    <row r="410">
      <c r="C410" s="1"/>
      <c r="E410" s="2"/>
      <c r="F410" s="2"/>
    </row>
    <row r="411">
      <c r="C411" s="1"/>
      <c r="E411" s="2"/>
      <c r="F411" s="2"/>
    </row>
    <row r="412">
      <c r="C412" s="1"/>
      <c r="E412" s="2"/>
      <c r="F412" s="2"/>
    </row>
    <row r="413">
      <c r="C413" s="1"/>
      <c r="E413" s="2"/>
      <c r="F413" s="2"/>
    </row>
    <row r="414">
      <c r="C414" s="1"/>
      <c r="E414" s="2"/>
      <c r="F414" s="2"/>
    </row>
    <row r="415">
      <c r="C415" s="1"/>
      <c r="E415" s="2"/>
      <c r="F415" s="2"/>
    </row>
    <row r="416">
      <c r="C416" s="1"/>
      <c r="E416" s="2"/>
      <c r="F416" s="2"/>
    </row>
    <row r="417">
      <c r="C417" s="1"/>
      <c r="E417" s="2"/>
      <c r="F417" s="2"/>
    </row>
    <row r="418">
      <c r="C418" s="1"/>
      <c r="E418" s="2"/>
      <c r="F418" s="2"/>
    </row>
    <row r="419">
      <c r="C419" s="1"/>
      <c r="E419" s="2"/>
      <c r="F419" s="2"/>
    </row>
    <row r="420">
      <c r="C420" s="1"/>
      <c r="E420" s="2"/>
      <c r="F420" s="2"/>
    </row>
    <row r="421">
      <c r="C421" s="1"/>
      <c r="E421" s="2"/>
      <c r="F421" s="2"/>
    </row>
    <row r="422">
      <c r="C422" s="1"/>
      <c r="E422" s="2"/>
      <c r="F422" s="2"/>
    </row>
    <row r="423">
      <c r="C423" s="1"/>
      <c r="E423" s="2"/>
      <c r="F423" s="2"/>
    </row>
    <row r="424">
      <c r="C424" s="1"/>
      <c r="E424" s="2"/>
      <c r="F424" s="2"/>
    </row>
    <row r="425">
      <c r="C425" s="1"/>
      <c r="E425" s="2"/>
      <c r="F425" s="2"/>
    </row>
    <row r="426">
      <c r="C426" s="1"/>
      <c r="E426" s="2"/>
      <c r="F426" s="2"/>
    </row>
    <row r="427">
      <c r="C427" s="1"/>
      <c r="E427" s="2"/>
      <c r="F427" s="2"/>
    </row>
    <row r="428">
      <c r="C428" s="1"/>
      <c r="E428" s="2"/>
      <c r="F428" s="2"/>
    </row>
    <row r="429">
      <c r="C429" s="1"/>
      <c r="E429" s="2"/>
      <c r="F429" s="2"/>
    </row>
    <row r="430">
      <c r="C430" s="1"/>
      <c r="E430" s="2"/>
      <c r="F430" s="2"/>
    </row>
    <row r="431">
      <c r="C431" s="1"/>
      <c r="E431" s="2"/>
      <c r="F431" s="2"/>
    </row>
    <row r="432">
      <c r="C432" s="1"/>
      <c r="E432" s="2"/>
      <c r="F432" s="2"/>
    </row>
    <row r="433">
      <c r="C433" s="1"/>
      <c r="E433" s="2"/>
      <c r="F433" s="2"/>
    </row>
    <row r="434">
      <c r="C434" s="1"/>
      <c r="E434" s="2"/>
      <c r="F434" s="2"/>
    </row>
    <row r="435">
      <c r="C435" s="1"/>
      <c r="E435" s="2"/>
      <c r="F435" s="2"/>
    </row>
    <row r="436">
      <c r="C436" s="1"/>
      <c r="E436" s="2"/>
      <c r="F436" s="2"/>
    </row>
    <row r="437">
      <c r="C437" s="1"/>
      <c r="E437" s="2"/>
      <c r="F437" s="2"/>
    </row>
    <row r="438">
      <c r="C438" s="1"/>
      <c r="E438" s="2"/>
      <c r="F438" s="2"/>
    </row>
    <row r="439">
      <c r="C439" s="1"/>
      <c r="E439" s="2"/>
      <c r="F439" s="2"/>
    </row>
    <row r="440">
      <c r="C440" s="1"/>
      <c r="E440" s="2"/>
      <c r="F440" s="2"/>
    </row>
    <row r="441">
      <c r="C441" s="1"/>
      <c r="E441" s="2"/>
      <c r="F441" s="2"/>
    </row>
    <row r="442">
      <c r="C442" s="1"/>
      <c r="E442" s="2"/>
      <c r="F442" s="2"/>
    </row>
    <row r="443">
      <c r="C443" s="1"/>
      <c r="E443" s="2"/>
      <c r="F443" s="2"/>
    </row>
    <row r="444">
      <c r="C444" s="1"/>
      <c r="E444" s="2"/>
      <c r="F444" s="2"/>
    </row>
    <row r="445">
      <c r="C445" s="1"/>
      <c r="E445" s="2"/>
      <c r="F445" s="2"/>
    </row>
    <row r="446">
      <c r="C446" s="1"/>
      <c r="E446" s="2"/>
      <c r="F446" s="2"/>
    </row>
    <row r="447">
      <c r="C447" s="1"/>
      <c r="E447" s="2"/>
      <c r="F447" s="2"/>
    </row>
    <row r="448">
      <c r="C448" s="1"/>
      <c r="E448" s="2"/>
      <c r="F448" s="2"/>
    </row>
    <row r="449">
      <c r="C449" s="1"/>
      <c r="E449" s="2"/>
      <c r="F449" s="2"/>
    </row>
    <row r="450">
      <c r="C450" s="1"/>
      <c r="E450" s="2"/>
      <c r="F450" s="2"/>
    </row>
    <row r="451">
      <c r="C451" s="1"/>
      <c r="E451" s="2"/>
      <c r="F451" s="2"/>
    </row>
    <row r="452">
      <c r="C452" s="1"/>
      <c r="E452" s="2"/>
      <c r="F452" s="2"/>
    </row>
    <row r="453">
      <c r="C453" s="1"/>
      <c r="E453" s="2"/>
      <c r="F453" s="2"/>
    </row>
    <row r="454">
      <c r="C454" s="1"/>
      <c r="E454" s="2"/>
      <c r="F454" s="2"/>
    </row>
    <row r="455">
      <c r="C455" s="1"/>
      <c r="E455" s="2"/>
      <c r="F455" s="2"/>
    </row>
    <row r="456">
      <c r="C456" s="1"/>
      <c r="E456" s="2"/>
      <c r="F456" s="2"/>
    </row>
    <row r="457">
      <c r="C457" s="1"/>
      <c r="E457" s="2"/>
      <c r="F457" s="2"/>
    </row>
    <row r="458">
      <c r="C458" s="1"/>
      <c r="E458" s="2"/>
      <c r="F458" s="2"/>
    </row>
    <row r="459">
      <c r="C459" s="1"/>
      <c r="E459" s="2"/>
      <c r="F459" s="2"/>
    </row>
    <row r="460">
      <c r="C460" s="1"/>
      <c r="E460" s="2"/>
      <c r="F460" s="2"/>
    </row>
    <row r="461">
      <c r="C461" s="1"/>
      <c r="E461" s="2"/>
      <c r="F461" s="2"/>
    </row>
    <row r="462">
      <c r="C462" s="1"/>
      <c r="E462" s="2"/>
      <c r="F462" s="2"/>
    </row>
    <row r="463">
      <c r="C463" s="1"/>
      <c r="E463" s="2"/>
      <c r="F463" s="2"/>
    </row>
    <row r="464">
      <c r="C464" s="1"/>
      <c r="E464" s="2"/>
      <c r="F464" s="2"/>
    </row>
    <row r="465">
      <c r="C465" s="1"/>
      <c r="E465" s="2"/>
      <c r="F465" s="2"/>
    </row>
    <row r="466">
      <c r="C466" s="1"/>
      <c r="E466" s="2"/>
      <c r="F466" s="2"/>
    </row>
    <row r="467">
      <c r="C467" s="1"/>
      <c r="E467" s="2"/>
      <c r="F467" s="2"/>
    </row>
    <row r="468">
      <c r="C468" s="1"/>
      <c r="E468" s="2"/>
      <c r="F468" s="2"/>
    </row>
    <row r="469">
      <c r="C469" s="1"/>
      <c r="E469" s="2"/>
      <c r="F469" s="2"/>
    </row>
    <row r="470">
      <c r="C470" s="1"/>
      <c r="E470" s="2"/>
      <c r="F470" s="2"/>
    </row>
    <row r="471">
      <c r="C471" s="1"/>
      <c r="E471" s="2"/>
      <c r="F471" s="2"/>
    </row>
    <row r="472">
      <c r="C472" s="1"/>
      <c r="E472" s="2"/>
      <c r="F472" s="2"/>
    </row>
    <row r="473">
      <c r="C473" s="1"/>
      <c r="E473" s="2"/>
      <c r="F473" s="2"/>
    </row>
    <row r="474">
      <c r="C474" s="1"/>
      <c r="E474" s="2"/>
      <c r="F474" s="2"/>
    </row>
    <row r="475">
      <c r="C475" s="1"/>
      <c r="E475" s="2"/>
      <c r="F475" s="2"/>
    </row>
    <row r="476">
      <c r="C476" s="1"/>
      <c r="E476" s="2"/>
      <c r="F476" s="2"/>
    </row>
    <row r="477">
      <c r="C477" s="1"/>
      <c r="E477" s="2"/>
      <c r="F477" s="2"/>
    </row>
    <row r="478">
      <c r="C478" s="1"/>
      <c r="E478" s="2"/>
      <c r="F478" s="2"/>
    </row>
    <row r="479">
      <c r="C479" s="1"/>
      <c r="E479" s="2"/>
      <c r="F479" s="2"/>
    </row>
    <row r="480">
      <c r="C480" s="1"/>
      <c r="E480" s="2"/>
      <c r="F480" s="2"/>
    </row>
    <row r="481">
      <c r="C481" s="1"/>
      <c r="E481" s="2"/>
      <c r="F481" s="2"/>
    </row>
    <row r="482">
      <c r="C482" s="1"/>
      <c r="E482" s="2"/>
      <c r="F482" s="2"/>
    </row>
    <row r="483">
      <c r="C483" s="1"/>
      <c r="E483" s="2"/>
      <c r="F483" s="2"/>
    </row>
    <row r="484">
      <c r="C484" s="1"/>
      <c r="E484" s="2"/>
      <c r="F484" s="2"/>
    </row>
    <row r="485">
      <c r="C485" s="1"/>
      <c r="E485" s="2"/>
      <c r="F485" s="2"/>
    </row>
    <row r="486">
      <c r="C486" s="1"/>
      <c r="E486" s="2"/>
      <c r="F486" s="2"/>
    </row>
    <row r="487">
      <c r="C487" s="1"/>
      <c r="E487" s="2"/>
      <c r="F487" s="2"/>
    </row>
    <row r="488">
      <c r="C488" s="1"/>
      <c r="E488" s="2"/>
      <c r="F488" s="2"/>
    </row>
    <row r="489">
      <c r="C489" s="1"/>
      <c r="E489" s="2"/>
      <c r="F489" s="2"/>
    </row>
    <row r="490">
      <c r="C490" s="1"/>
      <c r="E490" s="2"/>
      <c r="F490" s="2"/>
    </row>
    <row r="491">
      <c r="C491" s="1"/>
      <c r="E491" s="2"/>
      <c r="F491" s="2"/>
    </row>
    <row r="492">
      <c r="C492" s="1"/>
      <c r="E492" s="2"/>
      <c r="F492" s="2"/>
    </row>
    <row r="493">
      <c r="C493" s="1"/>
      <c r="E493" s="2"/>
      <c r="F493" s="2"/>
    </row>
    <row r="494">
      <c r="C494" s="1"/>
      <c r="E494" s="2"/>
      <c r="F494" s="2"/>
    </row>
    <row r="495">
      <c r="C495" s="1"/>
      <c r="E495" s="2"/>
      <c r="F495" s="2"/>
    </row>
    <row r="496">
      <c r="C496" s="1"/>
      <c r="E496" s="2"/>
      <c r="F496" s="2"/>
    </row>
    <row r="497">
      <c r="C497" s="1"/>
      <c r="E497" s="2"/>
      <c r="F497" s="2"/>
    </row>
    <row r="498">
      <c r="C498" s="1"/>
      <c r="E498" s="2"/>
      <c r="F498" s="2"/>
    </row>
    <row r="499">
      <c r="C499" s="1"/>
      <c r="E499" s="2"/>
      <c r="F499" s="2"/>
    </row>
    <row r="500">
      <c r="C500" s="1"/>
      <c r="E500" s="2"/>
      <c r="F500" s="2"/>
    </row>
    <row r="501">
      <c r="C501" s="1"/>
      <c r="E501" s="2"/>
      <c r="F501" s="2"/>
    </row>
    <row r="502">
      <c r="C502" s="1"/>
      <c r="E502" s="2"/>
      <c r="F502" s="2"/>
    </row>
    <row r="503">
      <c r="C503" s="1"/>
      <c r="E503" s="2"/>
      <c r="F503" s="2"/>
    </row>
    <row r="504">
      <c r="C504" s="1"/>
      <c r="E504" s="2"/>
      <c r="F504" s="2"/>
    </row>
    <row r="505">
      <c r="C505" s="1"/>
      <c r="E505" s="2"/>
      <c r="F505" s="2"/>
    </row>
    <row r="506">
      <c r="C506" s="1"/>
      <c r="E506" s="2"/>
      <c r="F506" s="2"/>
    </row>
    <row r="507">
      <c r="C507" s="1"/>
      <c r="E507" s="2"/>
      <c r="F507" s="2"/>
    </row>
    <row r="508">
      <c r="C508" s="1"/>
      <c r="E508" s="2"/>
      <c r="F508" s="2"/>
    </row>
    <row r="509">
      <c r="C509" s="1"/>
      <c r="E509" s="2"/>
      <c r="F509" s="2"/>
    </row>
    <row r="510">
      <c r="C510" s="1"/>
      <c r="E510" s="2"/>
      <c r="F510" s="2"/>
    </row>
    <row r="511">
      <c r="C511" s="1"/>
      <c r="E511" s="2"/>
      <c r="F511" s="2"/>
    </row>
    <row r="512">
      <c r="C512" s="1"/>
      <c r="E512" s="2"/>
      <c r="F512" s="2"/>
    </row>
    <row r="513">
      <c r="C513" s="1"/>
      <c r="E513" s="2"/>
      <c r="F513" s="2"/>
    </row>
    <row r="514">
      <c r="C514" s="1"/>
      <c r="E514" s="2"/>
      <c r="F514" s="2"/>
    </row>
    <row r="515">
      <c r="C515" s="1"/>
      <c r="E515" s="2"/>
      <c r="F515" s="2"/>
    </row>
    <row r="516">
      <c r="C516" s="1"/>
      <c r="E516" s="2"/>
      <c r="F516" s="2"/>
    </row>
    <row r="517">
      <c r="C517" s="1"/>
      <c r="E517" s="2"/>
      <c r="F517" s="2"/>
    </row>
    <row r="518">
      <c r="C518" s="1"/>
      <c r="E518" s="2"/>
      <c r="F518" s="2"/>
    </row>
    <row r="519">
      <c r="C519" s="1"/>
      <c r="E519" s="2"/>
      <c r="F519" s="2"/>
    </row>
    <row r="520">
      <c r="C520" s="1"/>
      <c r="E520" s="2"/>
      <c r="F520" s="2"/>
    </row>
    <row r="521">
      <c r="C521" s="1"/>
      <c r="E521" s="2"/>
      <c r="F521" s="2"/>
    </row>
    <row r="522">
      <c r="C522" s="1"/>
      <c r="E522" s="2"/>
      <c r="F522" s="2"/>
    </row>
    <row r="523">
      <c r="C523" s="1"/>
      <c r="E523" s="2"/>
      <c r="F523" s="2"/>
    </row>
    <row r="524">
      <c r="C524" s="1"/>
      <c r="E524" s="2"/>
      <c r="F524" s="2"/>
    </row>
    <row r="525">
      <c r="C525" s="1"/>
      <c r="E525" s="2"/>
      <c r="F525" s="2"/>
    </row>
    <row r="526">
      <c r="C526" s="1"/>
      <c r="E526" s="2"/>
      <c r="F526" s="2"/>
    </row>
    <row r="527">
      <c r="C527" s="1"/>
      <c r="E527" s="2"/>
      <c r="F527" s="2"/>
    </row>
    <row r="528">
      <c r="C528" s="1"/>
      <c r="E528" s="2"/>
      <c r="F528" s="2"/>
    </row>
    <row r="529">
      <c r="C529" s="1"/>
      <c r="E529" s="2"/>
      <c r="F529" s="2"/>
    </row>
    <row r="530">
      <c r="C530" s="1"/>
      <c r="E530" s="2"/>
      <c r="F530" s="2"/>
    </row>
    <row r="531">
      <c r="C531" s="1"/>
      <c r="E531" s="2"/>
      <c r="F531" s="2"/>
    </row>
    <row r="532">
      <c r="C532" s="1"/>
      <c r="E532" s="2"/>
      <c r="F532" s="2"/>
    </row>
    <row r="533">
      <c r="C533" s="1"/>
      <c r="E533" s="2"/>
      <c r="F533" s="2"/>
    </row>
    <row r="534">
      <c r="C534" s="1"/>
      <c r="E534" s="2"/>
      <c r="F534" s="2"/>
    </row>
    <row r="535">
      <c r="C535" s="1"/>
      <c r="E535" s="2"/>
      <c r="F535" s="2"/>
    </row>
    <row r="536">
      <c r="C536" s="1"/>
      <c r="E536" s="2"/>
      <c r="F536" s="2"/>
    </row>
    <row r="537">
      <c r="C537" s="1"/>
      <c r="E537" s="2"/>
      <c r="F537" s="2"/>
    </row>
    <row r="538">
      <c r="C538" s="1"/>
      <c r="E538" s="2"/>
      <c r="F538" s="2"/>
    </row>
    <row r="539">
      <c r="C539" s="1"/>
      <c r="E539" s="2"/>
      <c r="F539" s="2"/>
    </row>
    <row r="540">
      <c r="C540" s="1"/>
      <c r="E540" s="2"/>
      <c r="F540" s="2"/>
    </row>
    <row r="541">
      <c r="C541" s="1"/>
      <c r="E541" s="2"/>
      <c r="F541" s="2"/>
    </row>
    <row r="542">
      <c r="C542" s="1"/>
      <c r="E542" s="2"/>
      <c r="F542" s="2"/>
    </row>
    <row r="543">
      <c r="C543" s="1"/>
      <c r="E543" s="2"/>
      <c r="F543" s="2"/>
    </row>
    <row r="544">
      <c r="C544" s="1"/>
      <c r="E544" s="2"/>
      <c r="F544" s="2"/>
    </row>
    <row r="545">
      <c r="C545" s="1"/>
      <c r="E545" s="2"/>
      <c r="F545" s="2"/>
    </row>
    <row r="546">
      <c r="C546" s="1"/>
      <c r="E546" s="2"/>
      <c r="F546" s="2"/>
    </row>
    <row r="547">
      <c r="C547" s="1"/>
      <c r="E547" s="2"/>
      <c r="F547" s="2"/>
    </row>
    <row r="548">
      <c r="C548" s="1"/>
      <c r="E548" s="2"/>
      <c r="F548" s="2"/>
    </row>
    <row r="549">
      <c r="C549" s="1"/>
      <c r="E549" s="2"/>
      <c r="F549" s="2"/>
    </row>
    <row r="550">
      <c r="C550" s="1"/>
      <c r="E550" s="2"/>
      <c r="F550" s="2"/>
    </row>
    <row r="551">
      <c r="C551" s="1"/>
      <c r="E551" s="2"/>
      <c r="F551" s="2"/>
    </row>
    <row r="552">
      <c r="C552" s="1"/>
      <c r="E552" s="2"/>
      <c r="F552" s="2"/>
    </row>
    <row r="553">
      <c r="C553" s="1"/>
      <c r="E553" s="2"/>
      <c r="F553" s="2"/>
    </row>
    <row r="554">
      <c r="C554" s="1"/>
      <c r="E554" s="2"/>
      <c r="F554" s="2"/>
    </row>
    <row r="555">
      <c r="C555" s="1"/>
      <c r="E555" s="2"/>
      <c r="F555" s="2"/>
    </row>
    <row r="556">
      <c r="C556" s="1"/>
      <c r="E556" s="2"/>
      <c r="F556" s="2"/>
    </row>
    <row r="557">
      <c r="C557" s="1"/>
      <c r="E557" s="2"/>
      <c r="F557" s="2"/>
    </row>
    <row r="558">
      <c r="C558" s="1"/>
      <c r="E558" s="2"/>
      <c r="F558" s="2"/>
    </row>
    <row r="559">
      <c r="C559" s="1"/>
      <c r="E559" s="2"/>
      <c r="F559" s="2"/>
    </row>
    <row r="560">
      <c r="C560" s="1"/>
      <c r="E560" s="2"/>
      <c r="F560" s="2"/>
    </row>
    <row r="561">
      <c r="C561" s="1"/>
      <c r="E561" s="2"/>
      <c r="F561" s="2"/>
    </row>
    <row r="562">
      <c r="C562" s="1"/>
      <c r="E562" s="2"/>
      <c r="F562" s="2"/>
    </row>
    <row r="563">
      <c r="C563" s="1"/>
      <c r="E563" s="2"/>
      <c r="F563" s="2"/>
    </row>
    <row r="564">
      <c r="C564" s="1"/>
      <c r="E564" s="2"/>
      <c r="F564" s="2"/>
    </row>
    <row r="565">
      <c r="C565" s="1"/>
      <c r="E565" s="2"/>
      <c r="F565" s="2"/>
    </row>
    <row r="566">
      <c r="C566" s="1"/>
      <c r="E566" s="2"/>
      <c r="F566" s="2"/>
    </row>
    <row r="567">
      <c r="C567" s="1"/>
      <c r="E567" s="2"/>
      <c r="F567" s="2"/>
    </row>
    <row r="568">
      <c r="C568" s="1"/>
      <c r="E568" s="2"/>
      <c r="F568" s="2"/>
    </row>
    <row r="569">
      <c r="C569" s="1"/>
      <c r="E569" s="2"/>
      <c r="F569" s="2"/>
    </row>
    <row r="570">
      <c r="C570" s="1"/>
      <c r="E570" s="2"/>
      <c r="F570" s="2"/>
    </row>
    <row r="571">
      <c r="C571" s="1"/>
      <c r="E571" s="2"/>
      <c r="F571" s="2"/>
    </row>
    <row r="572">
      <c r="C572" s="1"/>
      <c r="E572" s="2"/>
      <c r="F572" s="2"/>
    </row>
    <row r="573">
      <c r="C573" s="1"/>
      <c r="E573" s="2"/>
      <c r="F573" s="2"/>
    </row>
    <row r="574">
      <c r="C574" s="1"/>
      <c r="E574" s="2"/>
      <c r="F574" s="2"/>
    </row>
    <row r="575">
      <c r="C575" s="1"/>
      <c r="E575" s="2"/>
      <c r="F575" s="2"/>
    </row>
    <row r="576">
      <c r="C576" s="1"/>
      <c r="E576" s="2"/>
      <c r="F576" s="2"/>
    </row>
    <row r="577">
      <c r="C577" s="1"/>
      <c r="E577" s="2"/>
      <c r="F577" s="2"/>
    </row>
    <row r="578">
      <c r="C578" s="1"/>
      <c r="E578" s="2"/>
      <c r="F578" s="2"/>
    </row>
    <row r="579">
      <c r="C579" s="1"/>
      <c r="E579" s="2"/>
      <c r="F579" s="2"/>
    </row>
    <row r="580">
      <c r="C580" s="1"/>
      <c r="E580" s="2"/>
      <c r="F580" s="2"/>
    </row>
    <row r="581">
      <c r="C581" s="1"/>
      <c r="E581" s="2"/>
      <c r="F581" s="2"/>
    </row>
    <row r="582">
      <c r="C582" s="1"/>
      <c r="E582" s="2"/>
      <c r="F582" s="2"/>
    </row>
    <row r="583">
      <c r="C583" s="1"/>
      <c r="E583" s="2"/>
      <c r="F583" s="2"/>
    </row>
    <row r="584">
      <c r="C584" s="1"/>
      <c r="E584" s="2"/>
      <c r="F584" s="2"/>
    </row>
    <row r="585">
      <c r="C585" s="1"/>
      <c r="E585" s="2"/>
      <c r="F585" s="2"/>
    </row>
    <row r="586">
      <c r="C586" s="1"/>
      <c r="E586" s="2"/>
      <c r="F586" s="2"/>
    </row>
    <row r="587">
      <c r="C587" s="1"/>
      <c r="E587" s="2"/>
      <c r="F587" s="2"/>
    </row>
    <row r="588">
      <c r="C588" s="1"/>
      <c r="E588" s="2"/>
      <c r="F588" s="2"/>
    </row>
    <row r="589">
      <c r="C589" s="1"/>
      <c r="E589" s="2"/>
      <c r="F589" s="2"/>
    </row>
    <row r="590">
      <c r="C590" s="1"/>
      <c r="E590" s="2"/>
      <c r="F590" s="2"/>
    </row>
    <row r="591">
      <c r="C591" s="1"/>
      <c r="E591" s="2"/>
      <c r="F591" s="2"/>
    </row>
    <row r="592">
      <c r="C592" s="1"/>
      <c r="E592" s="2"/>
      <c r="F592" s="2"/>
    </row>
    <row r="593">
      <c r="C593" s="1"/>
      <c r="E593" s="2"/>
      <c r="F593" s="2"/>
    </row>
    <row r="594">
      <c r="C594" s="1"/>
      <c r="E594" s="2"/>
      <c r="F594" s="2"/>
    </row>
    <row r="595">
      <c r="C595" s="1"/>
      <c r="E595" s="2"/>
      <c r="F595" s="2"/>
    </row>
    <row r="596">
      <c r="C596" s="1"/>
      <c r="E596" s="2"/>
      <c r="F596" s="2"/>
    </row>
    <row r="597">
      <c r="C597" s="1"/>
      <c r="E597" s="2"/>
      <c r="F597" s="2"/>
    </row>
    <row r="598">
      <c r="C598" s="1"/>
      <c r="E598" s="2"/>
      <c r="F598" s="2"/>
    </row>
    <row r="599">
      <c r="C599" s="1"/>
      <c r="E599" s="2"/>
      <c r="F599" s="2"/>
    </row>
    <row r="600">
      <c r="C600" s="1"/>
      <c r="E600" s="2"/>
      <c r="F600" s="2"/>
    </row>
    <row r="601">
      <c r="C601" s="1"/>
      <c r="E601" s="2"/>
      <c r="F601" s="2"/>
    </row>
    <row r="602">
      <c r="C602" s="1"/>
      <c r="E602" s="2"/>
      <c r="F602" s="2"/>
    </row>
    <row r="603">
      <c r="C603" s="1"/>
      <c r="E603" s="2"/>
      <c r="F603" s="2"/>
    </row>
    <row r="604">
      <c r="C604" s="1"/>
      <c r="E604" s="2"/>
      <c r="F604" s="2"/>
    </row>
    <row r="605">
      <c r="C605" s="1"/>
      <c r="E605" s="2"/>
      <c r="F605" s="2"/>
    </row>
    <row r="606">
      <c r="C606" s="1"/>
      <c r="E606" s="2"/>
      <c r="F606" s="2"/>
    </row>
    <row r="607">
      <c r="C607" s="1"/>
      <c r="E607" s="2"/>
      <c r="F607" s="2"/>
    </row>
    <row r="608">
      <c r="C608" s="1"/>
      <c r="E608" s="2"/>
      <c r="F608" s="2"/>
    </row>
    <row r="609">
      <c r="C609" s="1"/>
      <c r="E609" s="2"/>
      <c r="F609" s="2"/>
    </row>
    <row r="610">
      <c r="C610" s="1"/>
      <c r="E610" s="2"/>
      <c r="F610" s="2"/>
    </row>
    <row r="611">
      <c r="C611" s="1"/>
      <c r="E611" s="2"/>
      <c r="F611" s="2"/>
    </row>
    <row r="612">
      <c r="C612" s="1"/>
      <c r="E612" s="2"/>
      <c r="F612" s="2"/>
    </row>
    <row r="613">
      <c r="C613" s="1"/>
      <c r="E613" s="2"/>
      <c r="F613" s="2"/>
    </row>
    <row r="614">
      <c r="C614" s="1"/>
      <c r="E614" s="2"/>
      <c r="F614" s="2"/>
    </row>
    <row r="615">
      <c r="C615" s="1"/>
      <c r="E615" s="2"/>
      <c r="F615" s="2"/>
    </row>
    <row r="616">
      <c r="C616" s="1"/>
      <c r="E616" s="2"/>
      <c r="F616" s="2"/>
    </row>
    <row r="617">
      <c r="C617" s="1"/>
      <c r="E617" s="2"/>
      <c r="F617" s="2"/>
    </row>
    <row r="618">
      <c r="C618" s="1"/>
      <c r="E618" s="2"/>
      <c r="F618" s="2"/>
    </row>
    <row r="619">
      <c r="C619" s="1"/>
      <c r="E619" s="2"/>
      <c r="F619" s="2"/>
    </row>
    <row r="620">
      <c r="C620" s="1"/>
      <c r="E620" s="2"/>
      <c r="F620" s="2"/>
    </row>
    <row r="621">
      <c r="C621" s="1"/>
      <c r="E621" s="2"/>
      <c r="F621" s="2"/>
    </row>
    <row r="622">
      <c r="C622" s="1"/>
      <c r="E622" s="2"/>
      <c r="F622" s="2"/>
    </row>
    <row r="623">
      <c r="C623" s="1"/>
      <c r="E623" s="2"/>
      <c r="F623" s="2"/>
    </row>
    <row r="624">
      <c r="C624" s="1"/>
      <c r="E624" s="2"/>
      <c r="F624" s="2"/>
    </row>
    <row r="625">
      <c r="C625" s="1"/>
      <c r="E625" s="2"/>
      <c r="F625" s="2"/>
    </row>
    <row r="626">
      <c r="C626" s="1"/>
      <c r="E626" s="2"/>
      <c r="F626" s="2"/>
    </row>
    <row r="627">
      <c r="C627" s="1"/>
      <c r="E627" s="2"/>
      <c r="F627" s="2"/>
    </row>
    <row r="628">
      <c r="C628" s="1"/>
      <c r="E628" s="2"/>
      <c r="F628" s="2"/>
    </row>
    <row r="629">
      <c r="C629" s="1"/>
      <c r="E629" s="2"/>
      <c r="F629" s="2"/>
    </row>
    <row r="630">
      <c r="C630" s="1"/>
      <c r="E630" s="2"/>
      <c r="F630" s="2"/>
    </row>
    <row r="631">
      <c r="C631" s="1"/>
      <c r="E631" s="2"/>
      <c r="F631" s="2"/>
    </row>
    <row r="632">
      <c r="C632" s="1"/>
      <c r="E632" s="2"/>
      <c r="F632" s="2"/>
    </row>
    <row r="633">
      <c r="C633" s="1"/>
      <c r="E633" s="2"/>
      <c r="F633" s="2"/>
    </row>
    <row r="634">
      <c r="C634" s="1"/>
      <c r="E634" s="2"/>
      <c r="F634" s="2"/>
    </row>
    <row r="635">
      <c r="C635" s="1"/>
      <c r="E635" s="2"/>
      <c r="F635" s="2"/>
    </row>
    <row r="636">
      <c r="C636" s="1"/>
      <c r="E636" s="2"/>
      <c r="F636" s="2"/>
    </row>
    <row r="637">
      <c r="C637" s="1"/>
      <c r="E637" s="2"/>
      <c r="F637" s="2"/>
    </row>
    <row r="638">
      <c r="C638" s="1"/>
      <c r="E638" s="2"/>
      <c r="F638" s="2"/>
    </row>
    <row r="639">
      <c r="C639" s="1"/>
      <c r="E639" s="2"/>
      <c r="F639" s="2"/>
    </row>
    <row r="640">
      <c r="C640" s="1"/>
      <c r="E640" s="2"/>
      <c r="F640" s="2"/>
    </row>
    <row r="641">
      <c r="C641" s="1"/>
      <c r="E641" s="2"/>
      <c r="F641" s="2"/>
    </row>
    <row r="642">
      <c r="C642" s="1"/>
      <c r="E642" s="2"/>
      <c r="F642" s="2"/>
    </row>
    <row r="643">
      <c r="C643" s="1"/>
      <c r="E643" s="2"/>
      <c r="F643" s="2"/>
    </row>
    <row r="644">
      <c r="C644" s="1"/>
      <c r="E644" s="2"/>
      <c r="F644" s="2"/>
    </row>
    <row r="645">
      <c r="C645" s="1"/>
      <c r="E645" s="2"/>
      <c r="F645" s="2"/>
    </row>
    <row r="646">
      <c r="C646" s="1"/>
      <c r="E646" s="2"/>
      <c r="F646" s="2"/>
    </row>
    <row r="647">
      <c r="C647" s="1"/>
      <c r="E647" s="2"/>
      <c r="F647" s="2"/>
    </row>
    <row r="648">
      <c r="C648" s="1"/>
      <c r="E648" s="2"/>
      <c r="F648" s="2"/>
    </row>
    <row r="649">
      <c r="C649" s="1"/>
      <c r="E649" s="2"/>
      <c r="F649" s="2"/>
    </row>
    <row r="650">
      <c r="C650" s="1"/>
      <c r="E650" s="2"/>
      <c r="F650" s="2"/>
    </row>
    <row r="651">
      <c r="C651" s="1"/>
      <c r="E651" s="2"/>
      <c r="F651" s="2"/>
    </row>
    <row r="652">
      <c r="C652" s="1"/>
      <c r="E652" s="2"/>
      <c r="F652" s="2"/>
    </row>
    <row r="653">
      <c r="C653" s="1"/>
      <c r="E653" s="2"/>
      <c r="F653" s="2"/>
    </row>
    <row r="654">
      <c r="C654" s="1"/>
      <c r="E654" s="2"/>
      <c r="F654" s="2"/>
    </row>
    <row r="655">
      <c r="C655" s="1"/>
      <c r="E655" s="2"/>
      <c r="F655" s="2"/>
    </row>
    <row r="656">
      <c r="C656" s="1"/>
      <c r="E656" s="2"/>
      <c r="F656" s="2"/>
    </row>
    <row r="657">
      <c r="C657" s="1"/>
      <c r="E657" s="2"/>
      <c r="F657" s="2"/>
    </row>
    <row r="658">
      <c r="C658" s="1"/>
      <c r="E658" s="2"/>
      <c r="F658" s="2"/>
    </row>
    <row r="659">
      <c r="C659" s="1"/>
      <c r="E659" s="2"/>
      <c r="F659" s="2"/>
    </row>
    <row r="660">
      <c r="C660" s="1"/>
      <c r="E660" s="2"/>
      <c r="F660" s="2"/>
    </row>
    <row r="661">
      <c r="C661" s="1"/>
      <c r="E661" s="2"/>
      <c r="F661" s="2"/>
    </row>
    <row r="662">
      <c r="C662" s="1"/>
      <c r="E662" s="2"/>
      <c r="F662" s="2"/>
    </row>
    <row r="663">
      <c r="C663" s="1"/>
      <c r="E663" s="2"/>
      <c r="F663" s="2"/>
    </row>
    <row r="664">
      <c r="C664" s="1"/>
      <c r="E664" s="2"/>
      <c r="F664" s="2"/>
    </row>
    <row r="665">
      <c r="C665" s="1"/>
      <c r="E665" s="2"/>
      <c r="F665" s="2"/>
    </row>
    <row r="666">
      <c r="C666" s="1"/>
      <c r="E666" s="2"/>
      <c r="F666" s="2"/>
    </row>
    <row r="667">
      <c r="C667" s="1"/>
      <c r="E667" s="2"/>
      <c r="F667" s="2"/>
    </row>
    <row r="668">
      <c r="C668" s="1"/>
      <c r="E668" s="2"/>
      <c r="F668" s="2"/>
    </row>
    <row r="669">
      <c r="C669" s="1"/>
      <c r="E669" s="2"/>
      <c r="F669" s="2"/>
    </row>
    <row r="670">
      <c r="C670" s="1"/>
      <c r="E670" s="2"/>
      <c r="F670" s="2"/>
    </row>
    <row r="671">
      <c r="C671" s="1"/>
      <c r="E671" s="2"/>
      <c r="F671" s="2"/>
    </row>
    <row r="672">
      <c r="C672" s="1"/>
      <c r="E672" s="2"/>
      <c r="F672" s="2"/>
    </row>
    <row r="673">
      <c r="C673" s="1"/>
      <c r="E673" s="2"/>
      <c r="F673" s="2"/>
    </row>
    <row r="674">
      <c r="C674" s="1"/>
      <c r="E674" s="2"/>
      <c r="F674" s="2"/>
    </row>
    <row r="675">
      <c r="C675" s="1"/>
      <c r="E675" s="2"/>
      <c r="F675" s="2"/>
    </row>
    <row r="676">
      <c r="C676" s="1"/>
      <c r="E676" s="2"/>
      <c r="F676" s="2"/>
    </row>
    <row r="677">
      <c r="C677" s="1"/>
      <c r="E677" s="2"/>
      <c r="F677" s="2"/>
    </row>
    <row r="678">
      <c r="C678" s="1"/>
      <c r="E678" s="2"/>
      <c r="F678" s="2"/>
    </row>
    <row r="679">
      <c r="C679" s="1"/>
      <c r="E679" s="2"/>
      <c r="F679" s="2"/>
    </row>
    <row r="680">
      <c r="C680" s="1"/>
      <c r="E680" s="2"/>
      <c r="F680" s="2"/>
    </row>
    <row r="681">
      <c r="C681" s="1"/>
      <c r="E681" s="2"/>
      <c r="F681" s="2"/>
    </row>
    <row r="682">
      <c r="C682" s="1"/>
      <c r="E682" s="2"/>
      <c r="F682" s="2"/>
    </row>
    <row r="683">
      <c r="C683" s="1"/>
      <c r="E683" s="2"/>
      <c r="F683" s="2"/>
    </row>
    <row r="684">
      <c r="C684" s="1"/>
      <c r="E684" s="2"/>
      <c r="F684" s="2"/>
    </row>
    <row r="685">
      <c r="C685" s="1"/>
      <c r="E685" s="2"/>
      <c r="F685" s="2"/>
    </row>
    <row r="686">
      <c r="C686" s="1"/>
      <c r="E686" s="2"/>
      <c r="F686" s="2"/>
    </row>
    <row r="687">
      <c r="C687" s="1"/>
      <c r="E687" s="2"/>
      <c r="F687" s="2"/>
    </row>
    <row r="688">
      <c r="C688" s="1"/>
      <c r="E688" s="2"/>
      <c r="F688" s="2"/>
    </row>
    <row r="689">
      <c r="C689" s="1"/>
      <c r="E689" s="2"/>
      <c r="F689" s="2"/>
    </row>
    <row r="690">
      <c r="C690" s="1"/>
      <c r="E690" s="2"/>
      <c r="F690" s="2"/>
    </row>
    <row r="691">
      <c r="C691" s="1"/>
      <c r="E691" s="2"/>
      <c r="F691" s="2"/>
    </row>
    <row r="692">
      <c r="C692" s="1"/>
      <c r="E692" s="2"/>
      <c r="F692" s="2"/>
    </row>
    <row r="693">
      <c r="C693" s="1"/>
      <c r="E693" s="2"/>
      <c r="F693" s="2"/>
    </row>
    <row r="694">
      <c r="C694" s="1"/>
      <c r="E694" s="2"/>
      <c r="F694" s="2"/>
    </row>
    <row r="695">
      <c r="C695" s="1"/>
      <c r="E695" s="2"/>
      <c r="F695" s="2"/>
    </row>
    <row r="696">
      <c r="C696" s="1"/>
      <c r="E696" s="2"/>
      <c r="F696" s="2"/>
    </row>
    <row r="697">
      <c r="C697" s="1"/>
      <c r="E697" s="2"/>
      <c r="F697" s="2"/>
    </row>
    <row r="698">
      <c r="C698" s="1"/>
      <c r="E698" s="2"/>
      <c r="F698" s="2"/>
    </row>
    <row r="699">
      <c r="C699" s="1"/>
      <c r="E699" s="2"/>
      <c r="F699" s="2"/>
    </row>
    <row r="700">
      <c r="C700" s="1"/>
      <c r="E700" s="2"/>
      <c r="F700" s="2"/>
    </row>
    <row r="701">
      <c r="C701" s="1"/>
      <c r="E701" s="2"/>
      <c r="F701" s="2"/>
    </row>
    <row r="702">
      <c r="C702" s="1"/>
      <c r="E702" s="2"/>
      <c r="F702" s="2"/>
    </row>
    <row r="703">
      <c r="C703" s="1"/>
      <c r="E703" s="2"/>
      <c r="F703" s="2"/>
    </row>
    <row r="704">
      <c r="C704" s="1"/>
      <c r="E704" s="2"/>
      <c r="F704" s="2"/>
    </row>
    <row r="705">
      <c r="C705" s="1"/>
      <c r="E705" s="2"/>
      <c r="F705" s="2"/>
    </row>
    <row r="706">
      <c r="C706" s="1"/>
      <c r="E706" s="2"/>
      <c r="F706" s="2"/>
    </row>
    <row r="707">
      <c r="C707" s="1"/>
      <c r="E707" s="2"/>
      <c r="F707" s="2"/>
    </row>
    <row r="708">
      <c r="C708" s="1"/>
      <c r="E708" s="2"/>
      <c r="F708" s="2"/>
    </row>
    <row r="709">
      <c r="C709" s="1"/>
      <c r="E709" s="2"/>
      <c r="F709" s="2"/>
    </row>
    <row r="710">
      <c r="C710" s="1"/>
      <c r="E710" s="2"/>
      <c r="F710" s="2"/>
    </row>
    <row r="711">
      <c r="C711" s="1"/>
      <c r="E711" s="2"/>
      <c r="F711" s="2"/>
    </row>
    <row r="712">
      <c r="C712" s="1"/>
      <c r="E712" s="2"/>
      <c r="F712" s="2"/>
    </row>
    <row r="713">
      <c r="C713" s="1"/>
      <c r="E713" s="2"/>
      <c r="F713" s="2"/>
    </row>
    <row r="714">
      <c r="C714" s="1"/>
      <c r="E714" s="2"/>
      <c r="F714" s="2"/>
    </row>
    <row r="715">
      <c r="C715" s="1"/>
      <c r="E715" s="2"/>
      <c r="F715" s="2"/>
    </row>
    <row r="716">
      <c r="C716" s="1"/>
      <c r="E716" s="2"/>
      <c r="F716" s="2"/>
    </row>
    <row r="717">
      <c r="C717" s="1"/>
      <c r="E717" s="2"/>
      <c r="F717" s="2"/>
    </row>
    <row r="718">
      <c r="C718" s="1"/>
      <c r="E718" s="2"/>
      <c r="F718" s="2"/>
    </row>
    <row r="719">
      <c r="C719" s="1"/>
      <c r="E719" s="2"/>
      <c r="F719" s="2"/>
    </row>
    <row r="720">
      <c r="C720" s="1"/>
      <c r="E720" s="2"/>
      <c r="F720" s="2"/>
    </row>
    <row r="721">
      <c r="C721" s="1"/>
      <c r="E721" s="2"/>
      <c r="F721" s="2"/>
    </row>
    <row r="722">
      <c r="C722" s="1"/>
      <c r="E722" s="2"/>
      <c r="F722" s="2"/>
    </row>
    <row r="723">
      <c r="C723" s="1"/>
      <c r="E723" s="2"/>
      <c r="F723" s="2"/>
    </row>
    <row r="724">
      <c r="C724" s="1"/>
      <c r="E724" s="2"/>
      <c r="F724" s="2"/>
    </row>
    <row r="725">
      <c r="C725" s="1"/>
      <c r="E725" s="2"/>
      <c r="F725" s="2"/>
    </row>
    <row r="726">
      <c r="C726" s="1"/>
      <c r="E726" s="2"/>
      <c r="F726" s="2"/>
    </row>
    <row r="727">
      <c r="C727" s="1"/>
      <c r="E727" s="2"/>
      <c r="F727" s="2"/>
    </row>
    <row r="728">
      <c r="C728" s="1"/>
      <c r="E728" s="2"/>
      <c r="F728" s="2"/>
    </row>
    <row r="729">
      <c r="C729" s="1"/>
      <c r="E729" s="2"/>
      <c r="F729" s="2"/>
    </row>
    <row r="730">
      <c r="C730" s="1"/>
      <c r="E730" s="2"/>
      <c r="F730" s="2"/>
    </row>
    <row r="731">
      <c r="C731" s="1"/>
      <c r="E731" s="2"/>
      <c r="F731" s="2"/>
    </row>
    <row r="732">
      <c r="C732" s="1"/>
      <c r="E732" s="2"/>
      <c r="F732" s="2"/>
    </row>
    <row r="733">
      <c r="C733" s="1"/>
      <c r="E733" s="2"/>
      <c r="F733" s="2"/>
    </row>
    <row r="734">
      <c r="C734" s="1"/>
      <c r="E734" s="2"/>
      <c r="F734" s="2"/>
    </row>
    <row r="735">
      <c r="C735" s="1"/>
      <c r="E735" s="2"/>
      <c r="F735" s="2"/>
    </row>
    <row r="736">
      <c r="C736" s="1"/>
      <c r="E736" s="2"/>
      <c r="F736" s="2"/>
    </row>
    <row r="737">
      <c r="C737" s="1"/>
      <c r="E737" s="2"/>
      <c r="F737" s="2"/>
    </row>
    <row r="738">
      <c r="C738" s="1"/>
      <c r="E738" s="2"/>
      <c r="F738" s="2"/>
    </row>
    <row r="739">
      <c r="C739" s="1"/>
      <c r="E739" s="2"/>
      <c r="F739" s="2"/>
    </row>
    <row r="740">
      <c r="C740" s="1"/>
      <c r="E740" s="2"/>
      <c r="F740" s="2"/>
    </row>
    <row r="741">
      <c r="C741" s="1"/>
      <c r="E741" s="2"/>
      <c r="F741" s="2"/>
    </row>
    <row r="742">
      <c r="C742" s="1"/>
      <c r="E742" s="2"/>
      <c r="F742" s="2"/>
    </row>
    <row r="743">
      <c r="C743" s="1"/>
      <c r="E743" s="2"/>
      <c r="F743" s="2"/>
    </row>
    <row r="744">
      <c r="C744" s="1"/>
      <c r="E744" s="2"/>
      <c r="F744" s="2"/>
    </row>
    <row r="745">
      <c r="C745" s="1"/>
      <c r="E745" s="2"/>
      <c r="F745" s="2"/>
    </row>
    <row r="746">
      <c r="C746" s="1"/>
      <c r="E746" s="2"/>
      <c r="F746" s="2"/>
    </row>
    <row r="747">
      <c r="C747" s="1"/>
      <c r="E747" s="2"/>
      <c r="F747" s="2"/>
    </row>
    <row r="748">
      <c r="C748" s="1"/>
      <c r="E748" s="2"/>
      <c r="F748" s="2"/>
    </row>
    <row r="749">
      <c r="C749" s="1"/>
      <c r="E749" s="2"/>
      <c r="F749" s="2"/>
    </row>
    <row r="750">
      <c r="C750" s="1"/>
      <c r="E750" s="2"/>
      <c r="F750" s="2"/>
    </row>
    <row r="751">
      <c r="C751" s="1"/>
      <c r="E751" s="2"/>
      <c r="F751" s="2"/>
    </row>
    <row r="752">
      <c r="C752" s="1"/>
      <c r="E752" s="2"/>
      <c r="F752" s="2"/>
    </row>
    <row r="753">
      <c r="C753" s="1"/>
      <c r="E753" s="2"/>
      <c r="F753" s="2"/>
    </row>
    <row r="754">
      <c r="C754" s="1"/>
      <c r="E754" s="2"/>
      <c r="F754" s="2"/>
    </row>
    <row r="755">
      <c r="C755" s="1"/>
      <c r="E755" s="2"/>
      <c r="F755" s="2"/>
    </row>
    <row r="756">
      <c r="C756" s="1"/>
      <c r="E756" s="2"/>
      <c r="F756" s="2"/>
    </row>
    <row r="757">
      <c r="C757" s="1"/>
      <c r="E757" s="2"/>
      <c r="F757" s="2"/>
    </row>
    <row r="758">
      <c r="C758" s="1"/>
      <c r="E758" s="2"/>
      <c r="F758" s="2"/>
    </row>
    <row r="759">
      <c r="C759" s="1"/>
      <c r="E759" s="2"/>
      <c r="F759" s="2"/>
    </row>
    <row r="760">
      <c r="C760" s="1"/>
      <c r="E760" s="2"/>
      <c r="F760" s="2"/>
    </row>
    <row r="761">
      <c r="C761" s="1"/>
      <c r="E761" s="2"/>
      <c r="F761" s="2"/>
    </row>
    <row r="762">
      <c r="C762" s="1"/>
      <c r="E762" s="2"/>
      <c r="F762" s="2"/>
    </row>
    <row r="763">
      <c r="C763" s="1"/>
      <c r="E763" s="2"/>
      <c r="F763" s="2"/>
    </row>
    <row r="764">
      <c r="C764" s="1"/>
      <c r="E764" s="2"/>
      <c r="F764" s="2"/>
    </row>
    <row r="765">
      <c r="C765" s="1"/>
      <c r="E765" s="2"/>
      <c r="F765" s="2"/>
    </row>
    <row r="766">
      <c r="C766" s="1"/>
      <c r="E766" s="2"/>
      <c r="F766" s="2"/>
    </row>
    <row r="767">
      <c r="C767" s="1"/>
      <c r="E767" s="2"/>
      <c r="F767" s="2"/>
    </row>
    <row r="768">
      <c r="C768" s="1"/>
      <c r="E768" s="2"/>
      <c r="F768" s="2"/>
    </row>
    <row r="769">
      <c r="C769" s="1"/>
      <c r="E769" s="2"/>
      <c r="F769" s="2"/>
    </row>
    <row r="770">
      <c r="C770" s="1"/>
      <c r="E770" s="2"/>
      <c r="F770" s="2"/>
    </row>
    <row r="771">
      <c r="C771" s="1"/>
      <c r="E771" s="2"/>
      <c r="F771" s="2"/>
    </row>
    <row r="772">
      <c r="C772" s="1"/>
      <c r="E772" s="2"/>
      <c r="F772" s="2"/>
    </row>
    <row r="773">
      <c r="C773" s="1"/>
      <c r="E773" s="2"/>
      <c r="F773" s="2"/>
    </row>
    <row r="774">
      <c r="C774" s="1"/>
      <c r="E774" s="2"/>
      <c r="F774" s="2"/>
    </row>
    <row r="775">
      <c r="C775" s="1"/>
      <c r="E775" s="2"/>
      <c r="F775" s="2"/>
    </row>
    <row r="776">
      <c r="C776" s="1"/>
      <c r="E776" s="2"/>
      <c r="F776" s="2"/>
    </row>
    <row r="777">
      <c r="C777" s="1"/>
      <c r="E777" s="2"/>
      <c r="F777" s="2"/>
    </row>
    <row r="778">
      <c r="C778" s="1"/>
      <c r="E778" s="2"/>
      <c r="F778" s="2"/>
    </row>
    <row r="779">
      <c r="C779" s="1"/>
      <c r="E779" s="2"/>
      <c r="F779" s="2"/>
    </row>
    <row r="780">
      <c r="C780" s="1"/>
      <c r="E780" s="2"/>
      <c r="F780" s="2"/>
    </row>
    <row r="781">
      <c r="C781" s="1"/>
      <c r="E781" s="2"/>
      <c r="F781" s="2"/>
    </row>
    <row r="782">
      <c r="C782" s="1"/>
      <c r="E782" s="2"/>
      <c r="F782" s="2"/>
    </row>
    <row r="783">
      <c r="C783" s="1"/>
      <c r="E783" s="2"/>
      <c r="F783" s="2"/>
    </row>
    <row r="784">
      <c r="C784" s="1"/>
      <c r="E784" s="2"/>
      <c r="F784" s="2"/>
    </row>
    <row r="785">
      <c r="C785" s="1"/>
      <c r="E785" s="2"/>
      <c r="F785" s="2"/>
    </row>
    <row r="786">
      <c r="C786" s="1"/>
      <c r="E786" s="2"/>
      <c r="F786" s="2"/>
    </row>
    <row r="787">
      <c r="C787" s="1"/>
      <c r="E787" s="2"/>
      <c r="F787" s="2"/>
    </row>
    <row r="788">
      <c r="C788" s="1"/>
      <c r="E788" s="2"/>
      <c r="F788" s="2"/>
    </row>
    <row r="789">
      <c r="C789" s="1"/>
      <c r="E789" s="2"/>
      <c r="F789" s="2"/>
    </row>
    <row r="790">
      <c r="C790" s="1"/>
      <c r="E790" s="2"/>
      <c r="F790" s="2"/>
    </row>
    <row r="791">
      <c r="C791" s="1"/>
      <c r="E791" s="2"/>
      <c r="F791" s="2"/>
    </row>
    <row r="792">
      <c r="C792" s="1"/>
      <c r="E792" s="2"/>
      <c r="F792" s="2"/>
    </row>
    <row r="793">
      <c r="C793" s="1"/>
      <c r="E793" s="2"/>
      <c r="F793" s="2"/>
    </row>
    <row r="794">
      <c r="C794" s="1"/>
      <c r="E794" s="2"/>
      <c r="F794" s="2"/>
    </row>
    <row r="795">
      <c r="C795" s="1"/>
      <c r="E795" s="2"/>
      <c r="F795" s="2"/>
    </row>
    <row r="796">
      <c r="C796" s="1"/>
      <c r="E796" s="2"/>
      <c r="F796" s="2"/>
    </row>
    <row r="797">
      <c r="C797" s="1"/>
      <c r="E797" s="2"/>
      <c r="F797" s="2"/>
    </row>
    <row r="798">
      <c r="C798" s="1"/>
      <c r="E798" s="2"/>
      <c r="F798" s="2"/>
    </row>
    <row r="799">
      <c r="C799" s="1"/>
      <c r="E799" s="2"/>
      <c r="F799" s="2"/>
    </row>
    <row r="800">
      <c r="C800" s="1"/>
      <c r="E800" s="2"/>
      <c r="F800" s="2"/>
    </row>
    <row r="801">
      <c r="C801" s="1"/>
      <c r="E801" s="2"/>
      <c r="F801" s="2"/>
    </row>
    <row r="802">
      <c r="C802" s="1"/>
      <c r="E802" s="2"/>
      <c r="F802" s="2"/>
    </row>
    <row r="803">
      <c r="C803" s="1"/>
      <c r="E803" s="2"/>
      <c r="F803" s="2"/>
    </row>
    <row r="804">
      <c r="C804" s="1"/>
      <c r="E804" s="2"/>
      <c r="F804" s="2"/>
    </row>
    <row r="805">
      <c r="C805" s="1"/>
      <c r="E805" s="2"/>
      <c r="F805" s="2"/>
    </row>
    <row r="806">
      <c r="C806" s="1"/>
      <c r="E806" s="2"/>
      <c r="F806" s="2"/>
    </row>
    <row r="807">
      <c r="C807" s="1"/>
      <c r="E807" s="2"/>
      <c r="F807" s="2"/>
    </row>
    <row r="808">
      <c r="C808" s="1"/>
      <c r="E808" s="2"/>
      <c r="F808" s="2"/>
    </row>
    <row r="809">
      <c r="C809" s="1"/>
      <c r="E809" s="2"/>
      <c r="F809" s="2"/>
    </row>
    <row r="810">
      <c r="C810" s="1"/>
      <c r="E810" s="2"/>
      <c r="F810" s="2"/>
    </row>
    <row r="811">
      <c r="C811" s="1"/>
      <c r="E811" s="2"/>
      <c r="F811" s="2"/>
    </row>
    <row r="812">
      <c r="C812" s="1"/>
      <c r="E812" s="2"/>
      <c r="F812" s="2"/>
    </row>
    <row r="813">
      <c r="C813" s="1"/>
      <c r="E813" s="2"/>
      <c r="F813" s="2"/>
    </row>
    <row r="814">
      <c r="C814" s="1"/>
      <c r="E814" s="2"/>
      <c r="F814" s="2"/>
    </row>
    <row r="815">
      <c r="C815" s="1"/>
      <c r="E815" s="2"/>
      <c r="F815" s="2"/>
    </row>
    <row r="816">
      <c r="C816" s="1"/>
      <c r="E816" s="2"/>
      <c r="F816" s="2"/>
    </row>
    <row r="817">
      <c r="C817" s="1"/>
      <c r="E817" s="2"/>
      <c r="F817" s="2"/>
    </row>
    <row r="818">
      <c r="C818" s="1"/>
      <c r="E818" s="2"/>
      <c r="F818" s="2"/>
    </row>
    <row r="819">
      <c r="C819" s="1"/>
      <c r="E819" s="2"/>
      <c r="F819" s="2"/>
    </row>
    <row r="820">
      <c r="C820" s="1"/>
      <c r="E820" s="2"/>
      <c r="F820" s="2"/>
    </row>
    <row r="821">
      <c r="C821" s="1"/>
      <c r="E821" s="2"/>
      <c r="F821" s="2"/>
    </row>
    <row r="822">
      <c r="C822" s="1"/>
      <c r="E822" s="2"/>
      <c r="F822" s="2"/>
    </row>
    <row r="823">
      <c r="C823" s="1"/>
      <c r="E823" s="2"/>
      <c r="F823" s="2"/>
    </row>
    <row r="824">
      <c r="C824" s="1"/>
      <c r="E824" s="2"/>
      <c r="F824" s="2"/>
    </row>
    <row r="825">
      <c r="C825" s="1"/>
      <c r="E825" s="2"/>
      <c r="F825" s="2"/>
    </row>
    <row r="826">
      <c r="C826" s="1"/>
      <c r="E826" s="2"/>
      <c r="F826" s="2"/>
    </row>
    <row r="827">
      <c r="C827" s="1"/>
      <c r="E827" s="2"/>
      <c r="F827" s="2"/>
    </row>
    <row r="828">
      <c r="C828" s="1"/>
      <c r="E828" s="2"/>
      <c r="F828" s="2"/>
    </row>
    <row r="829">
      <c r="C829" s="1"/>
      <c r="E829" s="2"/>
      <c r="F829" s="2"/>
    </row>
    <row r="830">
      <c r="C830" s="1"/>
      <c r="E830" s="2"/>
      <c r="F830" s="2"/>
    </row>
    <row r="831">
      <c r="C831" s="1"/>
      <c r="E831" s="2"/>
      <c r="F831" s="2"/>
    </row>
    <row r="832">
      <c r="C832" s="1"/>
      <c r="E832" s="2"/>
      <c r="F832" s="2"/>
    </row>
    <row r="833">
      <c r="C833" s="1"/>
      <c r="E833" s="2"/>
      <c r="F833" s="2"/>
    </row>
    <row r="834">
      <c r="C834" s="1"/>
      <c r="E834" s="2"/>
      <c r="F834" s="2"/>
    </row>
    <row r="835">
      <c r="C835" s="1"/>
      <c r="E835" s="2"/>
      <c r="F835" s="2"/>
    </row>
    <row r="836">
      <c r="C836" s="1"/>
      <c r="E836" s="2"/>
      <c r="F836" s="2"/>
    </row>
    <row r="837">
      <c r="C837" s="1"/>
      <c r="E837" s="2"/>
      <c r="F837" s="2"/>
    </row>
    <row r="838">
      <c r="C838" s="1"/>
      <c r="E838" s="2"/>
      <c r="F838" s="2"/>
    </row>
    <row r="839">
      <c r="C839" s="1"/>
      <c r="E839" s="2"/>
      <c r="F839" s="2"/>
    </row>
    <row r="840">
      <c r="C840" s="1"/>
      <c r="E840" s="2"/>
      <c r="F840" s="2"/>
    </row>
    <row r="841">
      <c r="C841" s="1"/>
      <c r="E841" s="2"/>
      <c r="F841" s="2"/>
    </row>
    <row r="842">
      <c r="C842" s="1"/>
      <c r="E842" s="2"/>
      <c r="F842" s="2"/>
    </row>
    <row r="843">
      <c r="C843" s="1"/>
      <c r="E843" s="2"/>
      <c r="F843" s="2"/>
    </row>
    <row r="844">
      <c r="C844" s="1"/>
      <c r="E844" s="2"/>
      <c r="F844" s="2"/>
    </row>
    <row r="845">
      <c r="C845" s="1"/>
      <c r="E845" s="2"/>
      <c r="F845" s="2"/>
    </row>
    <row r="846">
      <c r="C846" s="1"/>
      <c r="E846" s="2"/>
      <c r="F846" s="2"/>
    </row>
    <row r="847">
      <c r="C847" s="1"/>
      <c r="E847" s="2"/>
      <c r="F847" s="2"/>
    </row>
    <row r="848">
      <c r="C848" s="1"/>
      <c r="E848" s="2"/>
      <c r="F848" s="2"/>
    </row>
    <row r="849">
      <c r="C849" s="1"/>
      <c r="E849" s="2"/>
      <c r="F849" s="2"/>
    </row>
    <row r="850">
      <c r="C850" s="1"/>
      <c r="E850" s="2"/>
      <c r="F850" s="2"/>
    </row>
    <row r="851">
      <c r="C851" s="1"/>
      <c r="E851" s="2"/>
      <c r="F851" s="2"/>
    </row>
    <row r="852">
      <c r="C852" s="1"/>
      <c r="E852" s="2"/>
      <c r="F852" s="2"/>
    </row>
    <row r="853">
      <c r="C853" s="1"/>
      <c r="E853" s="2"/>
      <c r="F853" s="2"/>
    </row>
    <row r="854">
      <c r="C854" s="1"/>
      <c r="E854" s="2"/>
      <c r="F854" s="2"/>
    </row>
    <row r="855">
      <c r="C855" s="1"/>
      <c r="E855" s="2"/>
      <c r="F855" s="2"/>
    </row>
    <row r="856">
      <c r="C856" s="1"/>
      <c r="E856" s="2"/>
      <c r="F856" s="2"/>
    </row>
    <row r="857">
      <c r="C857" s="1"/>
      <c r="E857" s="2"/>
      <c r="F857" s="2"/>
    </row>
    <row r="858">
      <c r="C858" s="1"/>
      <c r="E858" s="2"/>
      <c r="F858" s="2"/>
    </row>
    <row r="859">
      <c r="C859" s="1"/>
      <c r="E859" s="2"/>
      <c r="F859" s="2"/>
    </row>
    <row r="860">
      <c r="C860" s="1"/>
      <c r="E860" s="2"/>
      <c r="F860" s="2"/>
    </row>
    <row r="861">
      <c r="C861" s="1"/>
      <c r="E861" s="2"/>
      <c r="F861" s="2"/>
    </row>
    <row r="862">
      <c r="C862" s="1"/>
      <c r="E862" s="2"/>
      <c r="F862" s="2"/>
    </row>
    <row r="863">
      <c r="C863" s="1"/>
      <c r="E863" s="2"/>
      <c r="F863" s="2"/>
    </row>
    <row r="864">
      <c r="C864" s="1"/>
      <c r="E864" s="2"/>
      <c r="F864" s="2"/>
    </row>
    <row r="865">
      <c r="C865" s="1"/>
      <c r="E865" s="2"/>
      <c r="F865" s="2"/>
    </row>
    <row r="866">
      <c r="C866" s="1"/>
      <c r="E866" s="2"/>
      <c r="F866" s="2"/>
    </row>
    <row r="867">
      <c r="C867" s="1"/>
      <c r="E867" s="2"/>
      <c r="F867" s="2"/>
    </row>
    <row r="868">
      <c r="C868" s="1"/>
      <c r="E868" s="2"/>
      <c r="F868" s="2"/>
    </row>
    <row r="869">
      <c r="C869" s="1"/>
      <c r="E869" s="2"/>
      <c r="F869" s="2"/>
    </row>
    <row r="870">
      <c r="C870" s="1"/>
      <c r="E870" s="2"/>
      <c r="F870" s="2"/>
    </row>
    <row r="871">
      <c r="C871" s="1"/>
      <c r="E871" s="2"/>
      <c r="F871" s="2"/>
    </row>
    <row r="872">
      <c r="C872" s="1"/>
      <c r="E872" s="2"/>
      <c r="F872" s="2"/>
    </row>
    <row r="873">
      <c r="C873" s="1"/>
      <c r="E873" s="2"/>
      <c r="F873" s="2"/>
    </row>
    <row r="874">
      <c r="C874" s="1"/>
      <c r="E874" s="2"/>
      <c r="F874" s="2"/>
    </row>
    <row r="875">
      <c r="C875" s="1"/>
      <c r="E875" s="2"/>
      <c r="F875" s="2"/>
    </row>
    <row r="876">
      <c r="C876" s="1"/>
      <c r="E876" s="2"/>
      <c r="F876" s="2"/>
    </row>
    <row r="877">
      <c r="C877" s="1"/>
      <c r="E877" s="2"/>
      <c r="F877" s="2"/>
    </row>
    <row r="878">
      <c r="C878" s="1"/>
      <c r="E878" s="2"/>
      <c r="F878" s="2"/>
    </row>
    <row r="879">
      <c r="C879" s="1"/>
      <c r="E879" s="2"/>
      <c r="F879" s="2"/>
    </row>
    <row r="880">
      <c r="C880" s="1"/>
      <c r="E880" s="2"/>
      <c r="F880" s="2"/>
    </row>
    <row r="881">
      <c r="C881" s="1"/>
      <c r="E881" s="2"/>
      <c r="F881" s="2"/>
    </row>
    <row r="882">
      <c r="C882" s="1"/>
      <c r="E882" s="2"/>
      <c r="F882" s="2"/>
    </row>
    <row r="883">
      <c r="C883" s="1"/>
      <c r="E883" s="2"/>
      <c r="F883" s="2"/>
    </row>
    <row r="884">
      <c r="C884" s="1"/>
      <c r="E884" s="2"/>
      <c r="F884" s="2"/>
    </row>
    <row r="885">
      <c r="C885" s="1"/>
      <c r="E885" s="2"/>
      <c r="F885" s="2"/>
    </row>
    <row r="886">
      <c r="C886" s="1"/>
      <c r="E886" s="2"/>
      <c r="F886" s="2"/>
    </row>
    <row r="887">
      <c r="C887" s="1"/>
      <c r="E887" s="2"/>
      <c r="F887" s="2"/>
    </row>
    <row r="888">
      <c r="C888" s="1"/>
      <c r="E888" s="2"/>
      <c r="F888" s="2"/>
    </row>
    <row r="889">
      <c r="C889" s="1"/>
      <c r="E889" s="2"/>
      <c r="F889" s="2"/>
    </row>
    <row r="890">
      <c r="C890" s="1"/>
      <c r="E890" s="2"/>
      <c r="F890" s="2"/>
    </row>
    <row r="891">
      <c r="C891" s="1"/>
      <c r="E891" s="2"/>
      <c r="F891" s="2"/>
    </row>
    <row r="892">
      <c r="C892" s="1"/>
      <c r="E892" s="2"/>
      <c r="F892" s="2"/>
    </row>
    <row r="893">
      <c r="C893" s="1"/>
      <c r="E893" s="2"/>
      <c r="F893" s="2"/>
    </row>
    <row r="894">
      <c r="C894" s="1"/>
      <c r="E894" s="2"/>
      <c r="F894" s="2"/>
    </row>
    <row r="895">
      <c r="C895" s="1"/>
      <c r="E895" s="2"/>
      <c r="F895" s="2"/>
    </row>
    <row r="896">
      <c r="C896" s="1"/>
      <c r="E896" s="2"/>
      <c r="F896" s="2"/>
    </row>
    <row r="897">
      <c r="C897" s="1"/>
      <c r="E897" s="2"/>
      <c r="F897" s="2"/>
    </row>
    <row r="898">
      <c r="C898" s="1"/>
      <c r="E898" s="2"/>
      <c r="F898" s="2"/>
    </row>
    <row r="899">
      <c r="C899" s="1"/>
      <c r="E899" s="2"/>
      <c r="F899" s="2"/>
    </row>
    <row r="900">
      <c r="C900" s="1"/>
      <c r="E900" s="2"/>
      <c r="F900" s="2"/>
    </row>
    <row r="901">
      <c r="C901" s="1"/>
      <c r="E901" s="2"/>
      <c r="F901" s="2"/>
    </row>
    <row r="902">
      <c r="C902" s="1"/>
      <c r="E902" s="2"/>
      <c r="F902" s="2"/>
    </row>
    <row r="903">
      <c r="C903" s="1"/>
      <c r="E903" s="2"/>
      <c r="F903" s="2"/>
    </row>
    <row r="904">
      <c r="C904" s="1"/>
      <c r="E904" s="2"/>
      <c r="F904" s="2"/>
    </row>
    <row r="905">
      <c r="C905" s="1"/>
      <c r="E905" s="2"/>
      <c r="F905" s="2"/>
    </row>
    <row r="906">
      <c r="C906" s="1"/>
      <c r="E906" s="2"/>
      <c r="F906" s="2"/>
    </row>
    <row r="907">
      <c r="C907" s="1"/>
      <c r="E907" s="2"/>
      <c r="F907" s="2"/>
    </row>
    <row r="908">
      <c r="C908" s="1"/>
      <c r="E908" s="2"/>
      <c r="F908" s="2"/>
    </row>
    <row r="909">
      <c r="C909" s="1"/>
      <c r="E909" s="2"/>
      <c r="F909" s="2"/>
    </row>
    <row r="910">
      <c r="C910" s="1"/>
      <c r="E910" s="2"/>
      <c r="F910" s="2"/>
    </row>
    <row r="911">
      <c r="C911" s="1"/>
      <c r="E911" s="2"/>
      <c r="F911" s="2"/>
    </row>
    <row r="912">
      <c r="C912" s="1"/>
      <c r="E912" s="2"/>
      <c r="F912" s="2"/>
    </row>
    <row r="913">
      <c r="C913" s="1"/>
      <c r="E913" s="2"/>
      <c r="F913" s="2"/>
    </row>
    <row r="914">
      <c r="C914" s="1"/>
      <c r="E914" s="2"/>
      <c r="F914" s="2"/>
    </row>
    <row r="915">
      <c r="C915" s="1"/>
      <c r="E915" s="2"/>
      <c r="F915" s="2"/>
    </row>
    <row r="916">
      <c r="C916" s="1"/>
      <c r="E916" s="2"/>
      <c r="F916" s="2"/>
    </row>
    <row r="917">
      <c r="C917" s="1"/>
      <c r="E917" s="2"/>
      <c r="F917" s="2"/>
    </row>
    <row r="918">
      <c r="C918" s="1"/>
      <c r="E918" s="2"/>
      <c r="F918" s="2"/>
    </row>
    <row r="919">
      <c r="C919" s="1"/>
      <c r="E919" s="2"/>
      <c r="F919" s="2"/>
    </row>
    <row r="920">
      <c r="C920" s="1"/>
      <c r="E920" s="2"/>
      <c r="F920" s="2"/>
    </row>
    <row r="921">
      <c r="C921" s="1"/>
      <c r="E921" s="2"/>
      <c r="F921" s="2"/>
    </row>
    <row r="922">
      <c r="C922" s="1"/>
      <c r="E922" s="2"/>
      <c r="F922" s="2"/>
    </row>
    <row r="923">
      <c r="C923" s="1"/>
      <c r="E923" s="2"/>
      <c r="F923" s="2"/>
    </row>
    <row r="924">
      <c r="C924" s="1"/>
      <c r="E924" s="2"/>
      <c r="F924" s="2"/>
    </row>
    <row r="925">
      <c r="C925" s="1"/>
      <c r="E925" s="2"/>
      <c r="F925" s="2"/>
    </row>
    <row r="926">
      <c r="C926" s="1"/>
      <c r="E926" s="2"/>
      <c r="F926" s="2"/>
    </row>
    <row r="927">
      <c r="C927" s="1"/>
      <c r="E927" s="2"/>
      <c r="F927" s="2"/>
    </row>
    <row r="928">
      <c r="C928" s="1"/>
      <c r="E928" s="2"/>
      <c r="F928" s="2"/>
    </row>
    <row r="929">
      <c r="C929" s="1"/>
      <c r="E929" s="2"/>
      <c r="F929" s="2"/>
    </row>
    <row r="930">
      <c r="C930" s="1"/>
      <c r="E930" s="2"/>
      <c r="F930" s="2"/>
    </row>
    <row r="931">
      <c r="C931" s="1"/>
      <c r="E931" s="2"/>
      <c r="F931" s="2"/>
    </row>
    <row r="932">
      <c r="C932" s="1"/>
      <c r="E932" s="2"/>
      <c r="F932" s="2"/>
    </row>
    <row r="933">
      <c r="C933" s="1"/>
      <c r="E933" s="2"/>
      <c r="F933" s="2"/>
    </row>
    <row r="934">
      <c r="C934" s="1"/>
      <c r="E934" s="2"/>
      <c r="F934" s="2"/>
    </row>
    <row r="935">
      <c r="C935" s="1"/>
      <c r="E935" s="2"/>
      <c r="F935" s="2"/>
    </row>
    <row r="936">
      <c r="C936" s="1"/>
      <c r="E936" s="2"/>
      <c r="F936" s="2"/>
    </row>
    <row r="937">
      <c r="C937" s="1"/>
      <c r="E937" s="2"/>
      <c r="F937" s="2"/>
    </row>
    <row r="938">
      <c r="C938" s="1"/>
      <c r="E938" s="2"/>
      <c r="F938" s="2"/>
    </row>
    <row r="939">
      <c r="C939" s="1"/>
      <c r="E939" s="2"/>
      <c r="F939" s="2"/>
    </row>
    <row r="940">
      <c r="C940" s="1"/>
      <c r="E940" s="2"/>
      <c r="F940" s="2"/>
    </row>
    <row r="941">
      <c r="C941" s="1"/>
      <c r="E941" s="2"/>
      <c r="F941" s="2"/>
    </row>
    <row r="942">
      <c r="C942" s="1"/>
      <c r="E942" s="2"/>
      <c r="F942" s="2"/>
    </row>
    <row r="943">
      <c r="C943" s="1"/>
      <c r="E943" s="2"/>
      <c r="F943" s="2"/>
    </row>
    <row r="944">
      <c r="C944" s="1"/>
      <c r="E944" s="2"/>
      <c r="F944" s="2"/>
    </row>
    <row r="945">
      <c r="C945" s="1"/>
      <c r="E945" s="2"/>
      <c r="F945" s="2"/>
    </row>
    <row r="946">
      <c r="C946" s="1"/>
      <c r="E946" s="2"/>
      <c r="F946" s="2"/>
    </row>
    <row r="947">
      <c r="C947" s="1"/>
      <c r="E947" s="2"/>
      <c r="F947" s="2"/>
    </row>
    <row r="948">
      <c r="C948" s="1"/>
      <c r="E948" s="2"/>
      <c r="F948" s="2"/>
    </row>
    <row r="949">
      <c r="C949" s="1"/>
      <c r="E949" s="2"/>
      <c r="F949" s="2"/>
    </row>
    <row r="950">
      <c r="C950" s="1"/>
      <c r="E950" s="2"/>
      <c r="F950" s="2"/>
    </row>
    <row r="951">
      <c r="C951" s="1"/>
      <c r="E951" s="2"/>
      <c r="F951" s="2"/>
    </row>
    <row r="952">
      <c r="C952" s="1"/>
      <c r="E952" s="2"/>
      <c r="F952" s="2"/>
    </row>
    <row r="953">
      <c r="C953" s="1"/>
      <c r="E953" s="2"/>
      <c r="F953" s="2"/>
    </row>
    <row r="954">
      <c r="C954" s="1"/>
      <c r="E954" s="2"/>
      <c r="F954" s="2"/>
    </row>
    <row r="955">
      <c r="C955" s="1"/>
      <c r="E955" s="2"/>
      <c r="F955" s="2"/>
    </row>
    <row r="956">
      <c r="C956" s="1"/>
      <c r="E956" s="2"/>
      <c r="F956" s="2"/>
    </row>
    <row r="957">
      <c r="C957" s="1"/>
      <c r="E957" s="2"/>
      <c r="F957" s="2"/>
    </row>
    <row r="958">
      <c r="C958" s="1"/>
      <c r="E958" s="2"/>
      <c r="F958" s="2"/>
    </row>
    <row r="959">
      <c r="C959" s="1"/>
      <c r="E959" s="2"/>
      <c r="F959" s="2"/>
    </row>
    <row r="960">
      <c r="C960" s="1"/>
      <c r="E960" s="2"/>
      <c r="F960" s="2"/>
    </row>
    <row r="961">
      <c r="C961" s="1"/>
      <c r="E961" s="2"/>
      <c r="F961" s="2"/>
    </row>
    <row r="962">
      <c r="C962" s="1"/>
      <c r="E962" s="2"/>
      <c r="F962" s="2"/>
    </row>
    <row r="963">
      <c r="C963" s="1"/>
      <c r="E963" s="2"/>
      <c r="F963" s="2"/>
    </row>
    <row r="964">
      <c r="C964" s="1"/>
      <c r="E964" s="2"/>
      <c r="F964" s="2"/>
    </row>
    <row r="965">
      <c r="C965" s="1"/>
      <c r="E965" s="2"/>
      <c r="F965" s="2"/>
    </row>
    <row r="966">
      <c r="C966" s="1"/>
      <c r="E966" s="2"/>
      <c r="F966" s="2"/>
    </row>
    <row r="967">
      <c r="C967" s="1"/>
      <c r="E967" s="2"/>
      <c r="F967" s="2"/>
    </row>
    <row r="968">
      <c r="C968" s="1"/>
      <c r="E968" s="2"/>
      <c r="F968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/>
      <c r="E1" s="2"/>
      <c r="F1" s="2"/>
    </row>
    <row r="2">
      <c r="C2" s="1"/>
      <c r="E2" s="2"/>
      <c r="F2" s="2"/>
    </row>
    <row r="3">
      <c r="C3" s="1"/>
      <c r="E3" s="2"/>
      <c r="F3" s="2"/>
      <c r="G3" s="70"/>
    </row>
    <row r="4">
      <c r="C4" s="1"/>
      <c r="E4" s="2"/>
      <c r="F4" s="2"/>
    </row>
    <row r="5">
      <c r="C5" s="1"/>
      <c r="E5" s="2"/>
      <c r="F5" s="2"/>
    </row>
    <row r="6">
      <c r="A6" s="3" t="s">
        <v>40</v>
      </c>
      <c r="C6" s="1"/>
      <c r="E6" s="2"/>
      <c r="F6" s="2"/>
      <c r="M6" s="71"/>
    </row>
    <row r="7">
      <c r="C7" s="1"/>
      <c r="E7" s="2"/>
      <c r="F7" s="2"/>
    </row>
    <row r="8">
      <c r="C8" s="1"/>
      <c r="E8" s="2"/>
      <c r="F8" s="2"/>
    </row>
    <row r="9">
      <c r="A9" s="4" t="s">
        <v>1</v>
      </c>
      <c r="B9" s="5"/>
      <c r="C9" s="5"/>
      <c r="D9" s="6"/>
      <c r="E9" s="7"/>
      <c r="F9" s="7"/>
      <c r="G9" s="5"/>
      <c r="H9" s="5"/>
      <c r="I9" s="5"/>
      <c r="J9" s="7"/>
      <c r="K9" s="5"/>
    </row>
    <row r="10">
      <c r="A10" s="8" t="s">
        <v>3</v>
      </c>
      <c r="B10" s="8" t="s">
        <v>4</v>
      </c>
      <c r="C10" s="8" t="s">
        <v>5</v>
      </c>
      <c r="D10" s="9" t="s">
        <v>6</v>
      </c>
      <c r="E10" s="10" t="s">
        <v>7</v>
      </c>
      <c r="F10" s="10" t="s">
        <v>8</v>
      </c>
      <c r="G10" s="8" t="s">
        <v>9</v>
      </c>
      <c r="H10" s="8" t="s">
        <v>10</v>
      </c>
      <c r="I10" s="8" t="s">
        <v>11</v>
      </c>
      <c r="J10" s="10" t="s">
        <v>12</v>
      </c>
      <c r="K10" s="8" t="s">
        <v>13</v>
      </c>
      <c r="M10" s="72" t="s">
        <v>41</v>
      </c>
      <c r="N10" s="72" t="s">
        <v>42</v>
      </c>
      <c r="O10" s="72" t="s">
        <v>43</v>
      </c>
      <c r="P10" s="3" t="s">
        <v>44</v>
      </c>
    </row>
    <row r="11">
      <c r="A11" s="48" t="s">
        <v>16</v>
      </c>
      <c r="B11" s="50">
        <v>730765.0</v>
      </c>
      <c r="C11" s="50">
        <v>112092.0</v>
      </c>
      <c r="D11" s="51">
        <f t="shared" ref="D11:D23" si="1">C11/B11</f>
        <v>0.1533899407</v>
      </c>
      <c r="E11" s="52">
        <f t="shared" ref="E11:E16" si="2">F11/C11</f>
        <v>0.2233575099</v>
      </c>
      <c r="F11" s="52">
        <v>25036.59</v>
      </c>
      <c r="G11" s="50">
        <v>14769.0</v>
      </c>
      <c r="H11" s="53">
        <f t="shared" ref="H11:H23" si="3">G11/C11</f>
        <v>0.1317578418</v>
      </c>
      <c r="I11" s="52">
        <f t="shared" ref="I11:I23" si="4">F11/G11</f>
        <v>1.695212269</v>
      </c>
      <c r="J11" s="52">
        <v>1349082.62</v>
      </c>
      <c r="K11" s="52">
        <f t="shared" ref="K11:K23" si="5">J11/G11</f>
        <v>91.345563</v>
      </c>
      <c r="M11" s="18">
        <v>24874.208904869996</v>
      </c>
      <c r="N11" s="18">
        <v>25036.59</v>
      </c>
      <c r="O11" s="18">
        <f t="shared" ref="O11:O21" si="6">M11-N11</f>
        <v>-162.3810951</v>
      </c>
    </row>
    <row r="12">
      <c r="A12" s="48" t="s">
        <v>17</v>
      </c>
      <c r="B12" s="50">
        <v>968272.0</v>
      </c>
      <c r="C12" s="50">
        <v>136630.0</v>
      </c>
      <c r="D12" s="51">
        <f t="shared" si="1"/>
        <v>0.1411070443</v>
      </c>
      <c r="E12" s="52">
        <f t="shared" si="2"/>
        <v>0.217968089</v>
      </c>
      <c r="F12" s="52">
        <v>29780.98</v>
      </c>
      <c r="G12" s="50">
        <v>16361.0</v>
      </c>
      <c r="H12" s="53">
        <f t="shared" si="3"/>
        <v>0.1197467613</v>
      </c>
      <c r="I12" s="52">
        <f t="shared" si="4"/>
        <v>1.820242039</v>
      </c>
      <c r="J12" s="52">
        <v>1503057.81</v>
      </c>
      <c r="K12" s="52">
        <f t="shared" si="5"/>
        <v>91.86833384</v>
      </c>
      <c r="M12" s="18">
        <v>29990.72867868</v>
      </c>
      <c r="N12" s="18">
        <v>29780.98</v>
      </c>
      <c r="O12" s="18">
        <f t="shared" si="6"/>
        <v>209.7486787</v>
      </c>
    </row>
    <row r="13">
      <c r="A13" s="48" t="s">
        <v>18</v>
      </c>
      <c r="B13" s="50">
        <v>944982.0</v>
      </c>
      <c r="C13" s="50">
        <v>133875.0</v>
      </c>
      <c r="D13" s="51">
        <f t="shared" si="1"/>
        <v>0.1416693651</v>
      </c>
      <c r="E13" s="52">
        <f t="shared" si="2"/>
        <v>0.1871534641</v>
      </c>
      <c r="F13" s="52">
        <v>25055.17</v>
      </c>
      <c r="G13" s="50">
        <v>15464.0</v>
      </c>
      <c r="H13" s="53">
        <f t="shared" si="3"/>
        <v>0.1155107376</v>
      </c>
      <c r="I13" s="52">
        <f t="shared" si="4"/>
        <v>1.620225685</v>
      </c>
      <c r="J13" s="52">
        <v>1384380.68</v>
      </c>
      <c r="K13" s="52">
        <f t="shared" si="5"/>
        <v>89.52280652</v>
      </c>
      <c r="M13" s="18">
        <v>29463.922399999996</v>
      </c>
      <c r="N13" s="18">
        <v>25055.17</v>
      </c>
      <c r="O13" s="18">
        <f t="shared" si="6"/>
        <v>4408.7524</v>
      </c>
    </row>
    <row r="14">
      <c r="A14" s="48" t="s">
        <v>19</v>
      </c>
      <c r="B14" s="50">
        <v>1123774.0</v>
      </c>
      <c r="C14" s="50">
        <v>159287.0</v>
      </c>
      <c r="D14" s="51">
        <f t="shared" si="1"/>
        <v>0.1417429127</v>
      </c>
      <c r="E14" s="52">
        <f t="shared" si="2"/>
        <v>0.222555513</v>
      </c>
      <c r="F14" s="52">
        <v>35450.2</v>
      </c>
      <c r="G14" s="50">
        <v>17843.0</v>
      </c>
      <c r="H14" s="53">
        <f t="shared" si="3"/>
        <v>0.1120179299</v>
      </c>
      <c r="I14" s="52">
        <f t="shared" si="4"/>
        <v>1.986784734</v>
      </c>
      <c r="J14" s="52">
        <v>1635647.89</v>
      </c>
      <c r="K14" s="52">
        <f t="shared" si="5"/>
        <v>91.6688836</v>
      </c>
      <c r="M14" s="18">
        <v>36213.37355999999</v>
      </c>
      <c r="N14" s="18">
        <v>35450.2</v>
      </c>
      <c r="O14" s="18">
        <f t="shared" si="6"/>
        <v>763.17356</v>
      </c>
    </row>
    <row r="15">
      <c r="A15" s="48" t="s">
        <v>20</v>
      </c>
      <c r="B15" s="50">
        <v>1.0034117E7</v>
      </c>
      <c r="C15" s="50">
        <v>168491.0</v>
      </c>
      <c r="D15" s="51">
        <f t="shared" si="1"/>
        <v>0.01679181138</v>
      </c>
      <c r="E15" s="52">
        <f t="shared" si="2"/>
        <v>0.2638359319</v>
      </c>
      <c r="F15" s="52">
        <v>44453.98</v>
      </c>
      <c r="G15" s="50">
        <v>17296.0</v>
      </c>
      <c r="H15" s="53">
        <f t="shared" si="3"/>
        <v>0.1026523672</v>
      </c>
      <c r="I15" s="52">
        <f t="shared" si="4"/>
        <v>2.570188483</v>
      </c>
      <c r="J15" s="52">
        <v>1530969.5</v>
      </c>
      <c r="K15" s="52">
        <f t="shared" si="5"/>
        <v>88.5158129</v>
      </c>
      <c r="M15" s="18">
        <v>39553.553795175</v>
      </c>
      <c r="N15" s="18">
        <v>44453.98</v>
      </c>
      <c r="O15" s="18">
        <f t="shared" si="6"/>
        <v>-4900.426205</v>
      </c>
    </row>
    <row r="16">
      <c r="A16" s="48" t="s">
        <v>21</v>
      </c>
      <c r="B16" s="50">
        <v>4228226.0</v>
      </c>
      <c r="C16" s="50">
        <v>107306.0</v>
      </c>
      <c r="D16" s="51">
        <f t="shared" si="1"/>
        <v>0.02537849207</v>
      </c>
      <c r="E16" s="52">
        <f t="shared" si="2"/>
        <v>0.2182146385</v>
      </c>
      <c r="F16" s="52">
        <v>23415.74</v>
      </c>
      <c r="G16" s="50">
        <v>13302.0</v>
      </c>
      <c r="H16" s="53">
        <f t="shared" si="3"/>
        <v>0.1239632453</v>
      </c>
      <c r="I16" s="52">
        <f t="shared" si="4"/>
        <v>1.760317246</v>
      </c>
      <c r="J16" s="52">
        <v>1146802.51</v>
      </c>
      <c r="K16" s="52">
        <f t="shared" si="5"/>
        <v>86.2127883</v>
      </c>
      <c r="M16" s="18">
        <v>22167.88191072</v>
      </c>
      <c r="N16" s="18">
        <v>23415.74</v>
      </c>
      <c r="O16" s="18">
        <f t="shared" si="6"/>
        <v>-1247.858089</v>
      </c>
    </row>
    <row r="17">
      <c r="A17" s="48" t="s">
        <v>22</v>
      </c>
      <c r="B17" s="50">
        <v>3434778.0</v>
      </c>
      <c r="C17" s="50">
        <v>87582.0</v>
      </c>
      <c r="D17" s="51">
        <f t="shared" si="1"/>
        <v>0.02549859118</v>
      </c>
      <c r="E17" s="52">
        <v>0.16</v>
      </c>
      <c r="F17" s="52">
        <v>14204.65</v>
      </c>
      <c r="G17" s="50">
        <v>14729.0</v>
      </c>
      <c r="H17" s="53">
        <f t="shared" si="3"/>
        <v>0.1681738257</v>
      </c>
      <c r="I17" s="52">
        <f t="shared" si="4"/>
        <v>0.9644001629</v>
      </c>
      <c r="J17" s="52">
        <v>1210107.11</v>
      </c>
      <c r="K17" s="52">
        <f t="shared" si="5"/>
        <v>82.1581309</v>
      </c>
      <c r="M17" s="18">
        <v>12307.101136266772</v>
      </c>
      <c r="N17" s="18">
        <v>14204.65</v>
      </c>
      <c r="O17" s="18">
        <f t="shared" si="6"/>
        <v>-1897.548864</v>
      </c>
    </row>
    <row r="18">
      <c r="A18" s="48" t="s">
        <v>23</v>
      </c>
      <c r="B18" s="50">
        <v>472301.0</v>
      </c>
      <c r="C18" s="50">
        <v>63007.0</v>
      </c>
      <c r="D18" s="51">
        <f t="shared" si="1"/>
        <v>0.1334043333</v>
      </c>
      <c r="E18" s="52">
        <f t="shared" ref="E18:E23" si="7">F18/C18</f>
        <v>0.151051153</v>
      </c>
      <c r="F18" s="52">
        <v>9517.28</v>
      </c>
      <c r="G18" s="50">
        <v>12388.0</v>
      </c>
      <c r="H18" s="53">
        <f t="shared" si="3"/>
        <v>0.1966130747</v>
      </c>
      <c r="I18" s="52">
        <f t="shared" si="4"/>
        <v>0.7682660639</v>
      </c>
      <c r="J18" s="52">
        <v>926805.65</v>
      </c>
      <c r="K18" s="52">
        <f t="shared" si="5"/>
        <v>74.81479254</v>
      </c>
      <c r="M18" s="18">
        <v>12360.430150996084</v>
      </c>
      <c r="N18" s="18">
        <v>9517.28</v>
      </c>
      <c r="O18" s="18">
        <f t="shared" si="6"/>
        <v>2843.150151</v>
      </c>
    </row>
    <row r="19">
      <c r="A19" s="48" t="s">
        <v>24</v>
      </c>
      <c r="B19" s="50">
        <v>2039833.0</v>
      </c>
      <c r="C19" s="50">
        <v>65046.0</v>
      </c>
      <c r="D19" s="51">
        <f t="shared" si="1"/>
        <v>0.03188790455</v>
      </c>
      <c r="E19" s="52">
        <f t="shared" si="7"/>
        <v>0.1792849676</v>
      </c>
      <c r="F19" s="52">
        <v>11661.77</v>
      </c>
      <c r="G19" s="50">
        <v>9683.0</v>
      </c>
      <c r="H19" s="53">
        <f t="shared" si="3"/>
        <v>0.1488638809</v>
      </c>
      <c r="I19" s="52">
        <f t="shared" si="4"/>
        <v>1.204355055</v>
      </c>
      <c r="J19" s="52">
        <v>724590.41</v>
      </c>
      <c r="K19" s="52">
        <f t="shared" si="5"/>
        <v>74.83118971</v>
      </c>
      <c r="M19" s="18">
        <v>10388.990606020461</v>
      </c>
      <c r="N19" s="18">
        <v>11661.77</v>
      </c>
      <c r="O19" s="18">
        <f t="shared" si="6"/>
        <v>-1272.779394</v>
      </c>
    </row>
    <row r="20">
      <c r="A20" s="48" t="s">
        <v>25</v>
      </c>
      <c r="B20" s="50">
        <v>1916782.0</v>
      </c>
      <c r="C20" s="50">
        <v>76103.0</v>
      </c>
      <c r="D20" s="51">
        <f t="shared" si="1"/>
        <v>0.03970352393</v>
      </c>
      <c r="E20" s="52">
        <f t="shared" si="7"/>
        <v>0.182035925</v>
      </c>
      <c r="F20" s="52">
        <v>13853.48</v>
      </c>
      <c r="G20" s="50">
        <v>10772.25</v>
      </c>
      <c r="H20" s="53">
        <f t="shared" si="3"/>
        <v>0.1415482964</v>
      </c>
      <c r="I20" s="52">
        <f t="shared" si="4"/>
        <v>1.286034023</v>
      </c>
      <c r="J20" s="52">
        <v>965622.94</v>
      </c>
      <c r="K20" s="52">
        <f t="shared" si="5"/>
        <v>89.63985611</v>
      </c>
      <c r="M20" s="18">
        <v>13987.136852848338</v>
      </c>
      <c r="N20" s="18">
        <v>13853.48</v>
      </c>
      <c r="O20" s="18">
        <f t="shared" si="6"/>
        <v>133.6568528</v>
      </c>
    </row>
    <row r="21">
      <c r="A21" s="48" t="s">
        <v>26</v>
      </c>
      <c r="B21" s="50">
        <v>1832975.0</v>
      </c>
      <c r="C21" s="50">
        <v>80111.0</v>
      </c>
      <c r="D21" s="51">
        <f t="shared" si="1"/>
        <v>0.04370545152</v>
      </c>
      <c r="E21" s="52">
        <f t="shared" si="7"/>
        <v>0.175699467</v>
      </c>
      <c r="F21" s="52">
        <v>14075.46</v>
      </c>
      <c r="G21" s="50">
        <v>10184.0</v>
      </c>
      <c r="H21" s="53">
        <f t="shared" si="3"/>
        <v>0.127123616</v>
      </c>
      <c r="I21" s="52">
        <f t="shared" si="4"/>
        <v>1.382115082</v>
      </c>
      <c r="J21" s="52">
        <v>916260.02</v>
      </c>
      <c r="K21" s="52">
        <f t="shared" si="5"/>
        <v>89.97054399</v>
      </c>
      <c r="M21" s="73">
        <v>12842.323533888557</v>
      </c>
      <c r="N21" s="18">
        <v>14075.46</v>
      </c>
      <c r="O21" s="18">
        <f t="shared" si="6"/>
        <v>-1233.136466</v>
      </c>
    </row>
    <row r="22">
      <c r="A22" s="14" t="s">
        <v>27</v>
      </c>
      <c r="B22" s="74">
        <v>554628.0</v>
      </c>
      <c r="C22" s="74">
        <v>152800.01400000002</v>
      </c>
      <c r="D22" s="75">
        <f t="shared" si="1"/>
        <v>0.2755</v>
      </c>
      <c r="E22" s="76">
        <f t="shared" si="7"/>
        <v>0.1799999835</v>
      </c>
      <c r="F22" s="76">
        <v>27504.0</v>
      </c>
      <c r="G22" s="77">
        <v>8801.280806400002</v>
      </c>
      <c r="H22" s="78">
        <f t="shared" si="3"/>
        <v>0.0576</v>
      </c>
      <c r="I22" s="76">
        <f t="shared" si="4"/>
        <v>3.124999714</v>
      </c>
      <c r="J22" s="76">
        <v>902957.18</v>
      </c>
      <c r="K22" s="76">
        <f t="shared" si="5"/>
        <v>102.5938383</v>
      </c>
      <c r="M22" s="18">
        <v>27504.002520000002</v>
      </c>
      <c r="N22" s="18"/>
      <c r="O22" s="18"/>
      <c r="P22" s="2">
        <f>M22+O23</f>
        <v>25148.35405</v>
      </c>
    </row>
    <row r="23">
      <c r="A23" s="8" t="s">
        <v>28</v>
      </c>
      <c r="B23" s="34">
        <f t="shared" ref="B23:C23" si="8">sum(B11:B22)</f>
        <v>28281433</v>
      </c>
      <c r="C23" s="34">
        <f t="shared" si="8"/>
        <v>1342330.014</v>
      </c>
      <c r="D23" s="35">
        <f t="shared" si="1"/>
        <v>0.04746329558</v>
      </c>
      <c r="E23" s="36">
        <f t="shared" si="7"/>
        <v>0.2041296083</v>
      </c>
      <c r="F23" s="36">
        <f t="shared" ref="F23:G23" si="9">sum(F11:F22)</f>
        <v>274009.3</v>
      </c>
      <c r="G23" s="34">
        <f t="shared" si="9"/>
        <v>161592.5308</v>
      </c>
      <c r="H23" s="35">
        <f t="shared" si="3"/>
        <v>0.1203821185</v>
      </c>
      <c r="I23" s="36">
        <f t="shared" si="4"/>
        <v>1.695680479</v>
      </c>
      <c r="J23" s="36">
        <f>sum(J11:J22)</f>
        <v>14196284.32</v>
      </c>
      <c r="K23" s="36">
        <f t="shared" si="5"/>
        <v>87.85235462</v>
      </c>
      <c r="M23" s="36">
        <v>271653.6540494652</v>
      </c>
      <c r="N23" s="36">
        <f t="shared" ref="N23:O23" si="10">SUM(N11:N22)</f>
        <v>246505.3</v>
      </c>
      <c r="O23" s="18">
        <f t="shared" si="10"/>
        <v>-2355.648471</v>
      </c>
    </row>
    <row r="24">
      <c r="F24" s="71">
        <v>271653.65</v>
      </c>
      <c r="M24" s="2">
        <f t="shared" ref="M24:N24" si="11">SUM(M11:M21)</f>
        <v>244149.6515</v>
      </c>
      <c r="N24" s="2">
        <f t="shared" si="11"/>
        <v>246505.3</v>
      </c>
      <c r="O24" s="2">
        <f>M24-N24</f>
        <v>-2355.648471</v>
      </c>
    </row>
    <row r="25">
      <c r="C25" s="1"/>
      <c r="D25" s="23"/>
      <c r="E25" s="2"/>
      <c r="F25" s="2">
        <f>F24-F23</f>
        <v>-2355.65</v>
      </c>
      <c r="H25" s="70">
        <f>F19-F25</f>
        <v>14017.42</v>
      </c>
    </row>
    <row r="26">
      <c r="C26" s="1"/>
      <c r="E26" s="2"/>
      <c r="F26" s="2">
        <f>SUM(F11:F18)</f>
        <v>206914.59</v>
      </c>
      <c r="G26" s="2">
        <f>F24-F26</f>
        <v>64739.06</v>
      </c>
      <c r="H26" s="2">
        <f>G26/4</f>
        <v>16184.765</v>
      </c>
    </row>
    <row r="27">
      <c r="C27" s="1"/>
      <c r="E27" s="2"/>
      <c r="F27" s="2">
        <f>F17-'Summer Upweight'!F17</f>
        <v>1897.548864</v>
      </c>
    </row>
    <row r="28">
      <c r="C28" s="1"/>
      <c r="E28" s="2"/>
      <c r="F28" s="2"/>
    </row>
    <row r="29">
      <c r="C29" s="1"/>
      <c r="E29" s="2"/>
      <c r="F29" s="2"/>
    </row>
    <row r="30">
      <c r="C30" s="1"/>
      <c r="E30" s="2"/>
      <c r="F30" s="71"/>
      <c r="G30" s="79"/>
    </row>
    <row r="31">
      <c r="C31" s="1"/>
      <c r="E31" s="2"/>
      <c r="F31" s="71"/>
    </row>
    <row r="32">
      <c r="C32" s="1"/>
      <c r="E32" s="2"/>
      <c r="F32" s="2"/>
    </row>
    <row r="33">
      <c r="C33" s="1"/>
      <c r="D33" s="23"/>
      <c r="E33" s="2"/>
      <c r="F33" s="2"/>
      <c r="J33" s="2"/>
    </row>
    <row r="34">
      <c r="B34" s="1"/>
      <c r="C34" s="1"/>
      <c r="D34" s="23"/>
      <c r="E34" s="2"/>
      <c r="F34" s="2"/>
      <c r="G34" s="1"/>
      <c r="H34" s="23"/>
      <c r="I34" s="2"/>
      <c r="J34" s="2"/>
      <c r="K34" s="2"/>
    </row>
    <row r="35">
      <c r="B35" s="1"/>
      <c r="C35" s="1"/>
      <c r="D35" s="23"/>
      <c r="E35" s="2"/>
      <c r="F35" s="2"/>
      <c r="G35" s="1"/>
      <c r="H35" s="23"/>
      <c r="I35" s="2"/>
      <c r="J35" s="2"/>
      <c r="K35" s="2"/>
    </row>
    <row r="36">
      <c r="B36" s="1"/>
      <c r="C36" s="1"/>
      <c r="D36" s="23"/>
      <c r="E36" s="2"/>
      <c r="F36" s="2"/>
      <c r="G36" s="1"/>
      <c r="H36" s="23"/>
      <c r="I36" s="2"/>
      <c r="J36" s="2"/>
      <c r="K36" s="2"/>
    </row>
    <row r="37">
      <c r="B37" s="1"/>
      <c r="C37" s="1"/>
      <c r="D37" s="23"/>
      <c r="E37" s="2"/>
      <c r="F37" s="2"/>
      <c r="G37" s="1"/>
      <c r="H37" s="23"/>
      <c r="I37" s="2"/>
      <c r="J37" s="2"/>
      <c r="K37" s="2"/>
    </row>
    <row r="38">
      <c r="B38" s="1"/>
      <c r="C38" s="1"/>
      <c r="D38" s="23"/>
      <c r="E38" s="2"/>
      <c r="F38" s="2"/>
      <c r="G38" s="1"/>
      <c r="H38" s="23"/>
      <c r="I38" s="2"/>
      <c r="J38" s="2"/>
      <c r="K38" s="2"/>
    </row>
    <row r="39">
      <c r="B39" s="1"/>
      <c r="C39" s="1"/>
      <c r="D39" s="23"/>
      <c r="E39" s="2"/>
      <c r="F39" s="2"/>
      <c r="G39" s="1"/>
      <c r="H39" s="23"/>
      <c r="I39" s="2"/>
      <c r="J39" s="2"/>
      <c r="K39" s="2"/>
    </row>
    <row r="40">
      <c r="B40" s="1"/>
      <c r="C40" s="1"/>
      <c r="D40" s="23"/>
      <c r="E40" s="2"/>
      <c r="F40" s="2"/>
      <c r="G40" s="1"/>
      <c r="H40" s="23"/>
      <c r="I40" s="2"/>
      <c r="J40" s="2"/>
      <c r="K40" s="2"/>
    </row>
    <row r="41">
      <c r="B41" s="1"/>
      <c r="C41" s="1"/>
      <c r="D41" s="23"/>
      <c r="E41" s="2"/>
      <c r="F41" s="2"/>
      <c r="G41" s="1"/>
      <c r="H41" s="23"/>
      <c r="I41" s="2"/>
      <c r="J41" s="2"/>
      <c r="K41" s="2"/>
    </row>
    <row r="42">
      <c r="B42" s="1"/>
      <c r="C42" s="1"/>
      <c r="D42" s="23"/>
      <c r="E42" s="2"/>
      <c r="F42" s="2"/>
      <c r="G42" s="1"/>
      <c r="H42" s="23"/>
      <c r="I42" s="2"/>
      <c r="J42" s="2"/>
      <c r="K42" s="2"/>
    </row>
    <row r="43">
      <c r="B43" s="1"/>
      <c r="C43" s="1"/>
      <c r="D43" s="23"/>
      <c r="E43" s="2"/>
      <c r="F43" s="2"/>
      <c r="G43" s="1"/>
      <c r="H43" s="23"/>
      <c r="I43" s="2"/>
      <c r="J43" s="2"/>
      <c r="K43" s="2"/>
    </row>
    <row r="44">
      <c r="B44" s="1"/>
      <c r="C44" s="1"/>
      <c r="D44" s="23"/>
      <c r="E44" s="2"/>
      <c r="F44" s="2"/>
      <c r="G44" s="1"/>
      <c r="H44" s="23"/>
      <c r="I44" s="2"/>
      <c r="J44" s="2"/>
      <c r="K44" s="2"/>
    </row>
    <row r="45">
      <c r="B45" s="1"/>
      <c r="C45" s="1"/>
      <c r="D45" s="23"/>
      <c r="E45" s="2"/>
      <c r="F45" s="2"/>
      <c r="G45" s="1"/>
      <c r="H45" s="23"/>
      <c r="I45" s="2"/>
      <c r="J45" s="2"/>
      <c r="K45" s="2"/>
    </row>
    <row r="46">
      <c r="B46" s="1"/>
      <c r="C46" s="1"/>
      <c r="D46" s="23"/>
      <c r="E46" s="2"/>
      <c r="F46" s="2"/>
      <c r="G46" s="1"/>
      <c r="H46" s="23"/>
      <c r="I46" s="2"/>
      <c r="J46" s="2"/>
      <c r="K46" s="2"/>
    </row>
    <row r="47">
      <c r="C47" s="1"/>
      <c r="E47" s="2"/>
      <c r="F47" s="2"/>
    </row>
    <row r="48">
      <c r="C48" s="1"/>
      <c r="E48" s="2"/>
      <c r="F48" s="2"/>
    </row>
    <row r="49">
      <c r="C49" s="1"/>
      <c r="E49" s="2"/>
      <c r="F49" s="2"/>
    </row>
    <row r="50">
      <c r="C50" s="1"/>
      <c r="E50" s="2"/>
      <c r="F50" s="2"/>
    </row>
    <row r="51">
      <c r="C51" s="1"/>
      <c r="E51" s="2"/>
      <c r="F51" s="2"/>
    </row>
    <row r="52">
      <c r="C52" s="1"/>
      <c r="E52" s="2"/>
      <c r="F52" s="2"/>
    </row>
    <row r="53">
      <c r="C53" s="1"/>
      <c r="E53" s="2"/>
      <c r="F53" s="2"/>
    </row>
    <row r="54">
      <c r="C54" s="1"/>
      <c r="E54" s="2"/>
      <c r="F54" s="2"/>
    </row>
    <row r="55">
      <c r="C55" s="1"/>
      <c r="E55" s="2"/>
      <c r="F55" s="2"/>
    </row>
    <row r="56">
      <c r="C56" s="1"/>
      <c r="E56" s="2"/>
      <c r="F56" s="2"/>
    </row>
    <row r="57">
      <c r="C57" s="1"/>
      <c r="E57" s="2"/>
      <c r="F57" s="2"/>
    </row>
    <row r="58">
      <c r="C58" s="1"/>
      <c r="E58" s="2"/>
      <c r="F58" s="2"/>
    </row>
    <row r="59">
      <c r="C59" s="1"/>
      <c r="E59" s="2"/>
      <c r="F59" s="2"/>
    </row>
    <row r="60">
      <c r="C60" s="1"/>
      <c r="E60" s="2"/>
      <c r="F60" s="2"/>
    </row>
    <row r="61">
      <c r="C61" s="1"/>
      <c r="E61" s="2"/>
      <c r="F61" s="2"/>
    </row>
    <row r="62">
      <c r="C62" s="1"/>
      <c r="E62" s="2"/>
      <c r="F62" s="2"/>
    </row>
    <row r="63">
      <c r="C63" s="1"/>
      <c r="E63" s="2"/>
      <c r="F63" s="2"/>
    </row>
    <row r="64">
      <c r="C64" s="1"/>
      <c r="E64" s="2"/>
      <c r="F64" s="2"/>
    </row>
    <row r="65">
      <c r="C65" s="1"/>
      <c r="E65" s="2"/>
      <c r="F65" s="2"/>
    </row>
    <row r="66">
      <c r="C66" s="1"/>
      <c r="E66" s="2"/>
      <c r="F66" s="2"/>
    </row>
    <row r="67">
      <c r="C67" s="1"/>
      <c r="E67" s="2"/>
      <c r="F67" s="2"/>
    </row>
    <row r="68">
      <c r="C68" s="1"/>
      <c r="E68" s="2"/>
      <c r="F68" s="2"/>
    </row>
    <row r="69">
      <c r="C69" s="1"/>
      <c r="E69" s="2"/>
      <c r="F69" s="2"/>
    </row>
    <row r="70">
      <c r="C70" s="1"/>
      <c r="E70" s="2"/>
      <c r="F70" s="2"/>
    </row>
    <row r="71">
      <c r="C71" s="1"/>
      <c r="E71" s="2"/>
      <c r="F71" s="2"/>
    </row>
    <row r="72">
      <c r="C72" s="1"/>
      <c r="E72" s="2"/>
      <c r="F72" s="2"/>
    </row>
    <row r="73">
      <c r="C73" s="1"/>
      <c r="E73" s="2"/>
      <c r="F73" s="2"/>
    </row>
    <row r="74">
      <c r="C74" s="1"/>
      <c r="E74" s="2"/>
      <c r="F74" s="2"/>
    </row>
    <row r="75">
      <c r="C75" s="1"/>
      <c r="E75" s="2"/>
      <c r="F75" s="2"/>
    </row>
    <row r="76">
      <c r="C76" s="1"/>
      <c r="E76" s="2"/>
      <c r="F76" s="2"/>
    </row>
    <row r="77">
      <c r="C77" s="1"/>
      <c r="E77" s="2"/>
      <c r="F77" s="2"/>
    </row>
    <row r="78">
      <c r="C78" s="1"/>
      <c r="E78" s="2"/>
      <c r="F78" s="2"/>
    </row>
    <row r="79">
      <c r="C79" s="1"/>
      <c r="E79" s="2"/>
      <c r="F79" s="2"/>
    </row>
    <row r="80">
      <c r="C80" s="1"/>
      <c r="E80" s="2"/>
      <c r="F80" s="2"/>
    </row>
    <row r="81">
      <c r="C81" s="1"/>
      <c r="E81" s="2"/>
      <c r="F81" s="2"/>
    </row>
    <row r="82">
      <c r="C82" s="1"/>
      <c r="E82" s="2"/>
      <c r="F82" s="2"/>
    </row>
    <row r="83">
      <c r="C83" s="1"/>
      <c r="E83" s="2"/>
      <c r="F83" s="2"/>
    </row>
    <row r="84">
      <c r="C84" s="1"/>
      <c r="E84" s="2"/>
      <c r="F84" s="2"/>
    </row>
    <row r="85">
      <c r="C85" s="1"/>
      <c r="E85" s="2"/>
      <c r="F85" s="2"/>
    </row>
    <row r="86">
      <c r="C86" s="1"/>
      <c r="E86" s="2"/>
      <c r="F86" s="2"/>
    </row>
    <row r="87">
      <c r="C87" s="1"/>
      <c r="E87" s="2"/>
      <c r="F87" s="2"/>
    </row>
    <row r="88">
      <c r="C88" s="1"/>
      <c r="E88" s="2"/>
      <c r="F88" s="2"/>
    </row>
    <row r="89">
      <c r="C89" s="1"/>
      <c r="E89" s="2"/>
      <c r="F89" s="2"/>
    </row>
    <row r="90">
      <c r="C90" s="1"/>
      <c r="E90" s="2"/>
      <c r="F90" s="2"/>
    </row>
    <row r="91">
      <c r="C91" s="1"/>
      <c r="E91" s="2"/>
      <c r="F91" s="2"/>
    </row>
    <row r="92">
      <c r="C92" s="1"/>
      <c r="E92" s="2"/>
      <c r="F92" s="2"/>
    </row>
    <row r="93">
      <c r="C93" s="1"/>
      <c r="E93" s="2"/>
      <c r="F93" s="2"/>
    </row>
    <row r="94">
      <c r="C94" s="1"/>
      <c r="E94" s="2"/>
      <c r="F94" s="2"/>
    </row>
    <row r="95">
      <c r="C95" s="1"/>
      <c r="E95" s="2"/>
      <c r="F95" s="2"/>
    </row>
    <row r="96">
      <c r="C96" s="1"/>
      <c r="E96" s="2"/>
      <c r="F96" s="2"/>
    </row>
    <row r="97">
      <c r="C97" s="1"/>
      <c r="E97" s="2"/>
      <c r="F97" s="2"/>
    </row>
    <row r="98">
      <c r="C98" s="1"/>
      <c r="E98" s="2"/>
      <c r="F98" s="2"/>
    </row>
    <row r="99">
      <c r="C99" s="1"/>
      <c r="E99" s="2"/>
      <c r="F99" s="2"/>
    </row>
    <row r="100">
      <c r="C100" s="1"/>
      <c r="E100" s="2"/>
      <c r="F100" s="2"/>
    </row>
    <row r="101">
      <c r="C101" s="1"/>
      <c r="E101" s="2"/>
      <c r="F101" s="2"/>
    </row>
    <row r="102">
      <c r="C102" s="1"/>
      <c r="E102" s="2"/>
      <c r="F102" s="2"/>
    </row>
    <row r="103">
      <c r="C103" s="1"/>
      <c r="E103" s="2"/>
      <c r="F103" s="2"/>
    </row>
    <row r="104">
      <c r="C104" s="1"/>
      <c r="E104" s="2"/>
      <c r="F104" s="2"/>
    </row>
    <row r="105">
      <c r="C105" s="1"/>
      <c r="E105" s="2"/>
      <c r="F105" s="2"/>
    </row>
    <row r="106">
      <c r="C106" s="1"/>
      <c r="E106" s="2"/>
      <c r="F106" s="2"/>
    </row>
    <row r="107">
      <c r="C107" s="1"/>
      <c r="E107" s="2"/>
      <c r="F107" s="2"/>
    </row>
    <row r="108">
      <c r="C108" s="1"/>
      <c r="E108" s="2"/>
      <c r="F108" s="2"/>
    </row>
    <row r="109">
      <c r="C109" s="1"/>
      <c r="E109" s="2"/>
      <c r="F109" s="2"/>
    </row>
    <row r="110">
      <c r="C110" s="1"/>
      <c r="E110" s="2"/>
      <c r="F110" s="2"/>
    </row>
    <row r="111">
      <c r="C111" s="1"/>
      <c r="E111" s="2"/>
      <c r="F111" s="2"/>
    </row>
    <row r="112">
      <c r="C112" s="1"/>
      <c r="E112" s="2"/>
      <c r="F112" s="2"/>
    </row>
    <row r="113">
      <c r="C113" s="1"/>
      <c r="E113" s="2"/>
      <c r="F113" s="2"/>
    </row>
    <row r="114">
      <c r="C114" s="1"/>
      <c r="E114" s="2"/>
      <c r="F114" s="2"/>
    </row>
    <row r="115">
      <c r="C115" s="1"/>
      <c r="E115" s="2"/>
      <c r="F115" s="2"/>
    </row>
    <row r="116">
      <c r="C116" s="1"/>
      <c r="E116" s="2"/>
      <c r="F116" s="2"/>
    </row>
    <row r="117">
      <c r="C117" s="1"/>
      <c r="E117" s="2"/>
      <c r="F117" s="2"/>
    </row>
    <row r="118">
      <c r="C118" s="1"/>
      <c r="E118" s="2"/>
      <c r="F118" s="2"/>
    </row>
    <row r="119">
      <c r="C119" s="1"/>
      <c r="E119" s="2"/>
      <c r="F119" s="2"/>
    </row>
    <row r="120">
      <c r="C120" s="1"/>
      <c r="E120" s="2"/>
      <c r="F120" s="2"/>
    </row>
    <row r="121">
      <c r="C121" s="1"/>
      <c r="E121" s="2"/>
      <c r="F121" s="2"/>
    </row>
    <row r="122">
      <c r="C122" s="1"/>
      <c r="E122" s="2"/>
      <c r="F122" s="2"/>
    </row>
    <row r="123">
      <c r="C123" s="1"/>
      <c r="E123" s="2"/>
      <c r="F123" s="2"/>
    </row>
    <row r="124">
      <c r="C124" s="1"/>
      <c r="E124" s="2"/>
      <c r="F124" s="2"/>
    </row>
    <row r="125">
      <c r="C125" s="1"/>
      <c r="E125" s="2"/>
      <c r="F125" s="2"/>
    </row>
    <row r="126">
      <c r="C126" s="1"/>
      <c r="E126" s="2"/>
      <c r="F126" s="2"/>
    </row>
    <row r="127">
      <c r="C127" s="1"/>
      <c r="E127" s="2"/>
      <c r="F127" s="2"/>
    </row>
    <row r="128">
      <c r="C128" s="1"/>
      <c r="E128" s="2"/>
      <c r="F128" s="2"/>
    </row>
    <row r="129">
      <c r="C129" s="1"/>
      <c r="E129" s="2"/>
      <c r="F129" s="2"/>
    </row>
    <row r="130">
      <c r="C130" s="1"/>
      <c r="E130" s="2"/>
      <c r="F130" s="2"/>
    </row>
    <row r="131">
      <c r="C131" s="1"/>
      <c r="E131" s="2"/>
      <c r="F131" s="2"/>
    </row>
    <row r="132">
      <c r="C132" s="1"/>
      <c r="E132" s="2"/>
      <c r="F132" s="2"/>
    </row>
    <row r="133">
      <c r="C133" s="1"/>
      <c r="E133" s="2"/>
      <c r="F133" s="2"/>
    </row>
    <row r="134">
      <c r="C134" s="1"/>
      <c r="E134" s="2"/>
      <c r="F134" s="2"/>
    </row>
    <row r="135">
      <c r="C135" s="1"/>
      <c r="E135" s="2"/>
      <c r="F135" s="2"/>
    </row>
    <row r="136">
      <c r="C136" s="1"/>
      <c r="E136" s="2"/>
      <c r="F136" s="2"/>
    </row>
    <row r="137">
      <c r="C137" s="1"/>
      <c r="E137" s="2"/>
      <c r="F137" s="2"/>
    </row>
    <row r="138">
      <c r="C138" s="1"/>
      <c r="E138" s="2"/>
      <c r="F138" s="2"/>
    </row>
    <row r="139">
      <c r="C139" s="1"/>
      <c r="E139" s="2"/>
      <c r="F139" s="2"/>
    </row>
    <row r="140">
      <c r="C140" s="1"/>
      <c r="E140" s="2"/>
      <c r="F140" s="2"/>
    </row>
    <row r="141">
      <c r="C141" s="1"/>
      <c r="E141" s="2"/>
      <c r="F141" s="2"/>
    </row>
    <row r="142">
      <c r="C142" s="1"/>
      <c r="E142" s="2"/>
      <c r="F142" s="2"/>
    </row>
    <row r="143">
      <c r="C143" s="1"/>
      <c r="E143" s="2"/>
      <c r="F143" s="2"/>
    </row>
    <row r="144">
      <c r="C144" s="1"/>
      <c r="E144" s="2"/>
      <c r="F144" s="2"/>
    </row>
    <row r="145">
      <c r="C145" s="1"/>
      <c r="E145" s="2"/>
      <c r="F145" s="2"/>
    </row>
    <row r="146">
      <c r="C146" s="1"/>
      <c r="E146" s="2"/>
      <c r="F146" s="2"/>
    </row>
    <row r="147">
      <c r="C147" s="1"/>
      <c r="E147" s="2"/>
      <c r="F147" s="2"/>
    </row>
    <row r="148">
      <c r="C148" s="1"/>
      <c r="E148" s="2"/>
      <c r="F148" s="2"/>
    </row>
    <row r="149">
      <c r="C149" s="1"/>
      <c r="E149" s="2"/>
      <c r="F149" s="2"/>
    </row>
    <row r="150">
      <c r="C150" s="1"/>
      <c r="E150" s="2"/>
      <c r="F150" s="2"/>
    </row>
    <row r="151">
      <c r="C151" s="1"/>
      <c r="E151" s="2"/>
      <c r="F151" s="2"/>
    </row>
    <row r="152">
      <c r="C152" s="1"/>
      <c r="E152" s="2"/>
      <c r="F152" s="2"/>
    </row>
    <row r="153">
      <c r="C153" s="1"/>
      <c r="E153" s="2"/>
      <c r="F153" s="2"/>
    </row>
    <row r="154">
      <c r="C154" s="1"/>
      <c r="E154" s="2"/>
      <c r="F154" s="2"/>
    </row>
    <row r="155">
      <c r="C155" s="1"/>
      <c r="E155" s="2"/>
      <c r="F155" s="2"/>
    </row>
    <row r="156">
      <c r="C156" s="1"/>
      <c r="E156" s="2"/>
      <c r="F156" s="2"/>
    </row>
    <row r="157">
      <c r="C157" s="1"/>
      <c r="E157" s="2"/>
      <c r="F157" s="2"/>
    </row>
    <row r="158">
      <c r="C158" s="1"/>
      <c r="E158" s="2"/>
      <c r="F158" s="2"/>
    </row>
    <row r="159">
      <c r="C159" s="1"/>
      <c r="E159" s="2"/>
      <c r="F159" s="2"/>
    </row>
    <row r="160">
      <c r="C160" s="1"/>
      <c r="E160" s="2"/>
      <c r="F160" s="2"/>
    </row>
    <row r="161">
      <c r="C161" s="1"/>
      <c r="E161" s="2"/>
      <c r="F161" s="2"/>
    </row>
    <row r="162">
      <c r="C162" s="1"/>
      <c r="E162" s="2"/>
      <c r="F162" s="2"/>
    </row>
    <row r="163">
      <c r="C163" s="1"/>
      <c r="E163" s="2"/>
      <c r="F163" s="2"/>
    </row>
    <row r="164">
      <c r="C164" s="1"/>
      <c r="E164" s="2"/>
      <c r="F164" s="2"/>
    </row>
    <row r="165">
      <c r="C165" s="1"/>
      <c r="E165" s="2"/>
      <c r="F165" s="2"/>
    </row>
    <row r="166">
      <c r="C166" s="1"/>
      <c r="E166" s="2"/>
      <c r="F166" s="2"/>
    </row>
    <row r="167">
      <c r="C167" s="1"/>
      <c r="E167" s="2"/>
      <c r="F167" s="2"/>
    </row>
    <row r="168">
      <c r="C168" s="1"/>
      <c r="E168" s="2"/>
      <c r="F168" s="2"/>
    </row>
    <row r="169">
      <c r="C169" s="1"/>
      <c r="E169" s="2"/>
      <c r="F169" s="2"/>
    </row>
    <row r="170">
      <c r="C170" s="1"/>
      <c r="E170" s="2"/>
      <c r="F170" s="2"/>
    </row>
    <row r="171">
      <c r="C171" s="1"/>
      <c r="E171" s="2"/>
      <c r="F171" s="2"/>
    </row>
    <row r="172">
      <c r="C172" s="1"/>
      <c r="E172" s="2"/>
      <c r="F172" s="2"/>
    </row>
    <row r="173">
      <c r="C173" s="1"/>
      <c r="E173" s="2"/>
      <c r="F173" s="2"/>
    </row>
    <row r="174">
      <c r="C174" s="1"/>
      <c r="E174" s="2"/>
      <c r="F174" s="2"/>
    </row>
    <row r="175">
      <c r="C175" s="1"/>
      <c r="E175" s="2"/>
      <c r="F175" s="2"/>
    </row>
    <row r="176">
      <c r="C176" s="1"/>
      <c r="E176" s="2"/>
      <c r="F176" s="2"/>
    </row>
    <row r="177">
      <c r="C177" s="1"/>
      <c r="E177" s="2"/>
      <c r="F177" s="2"/>
    </row>
    <row r="178">
      <c r="C178" s="1"/>
      <c r="E178" s="2"/>
      <c r="F178" s="2"/>
    </row>
    <row r="179">
      <c r="C179" s="1"/>
      <c r="E179" s="2"/>
      <c r="F179" s="2"/>
    </row>
    <row r="180">
      <c r="C180" s="1"/>
      <c r="E180" s="2"/>
      <c r="F180" s="2"/>
    </row>
    <row r="181">
      <c r="C181" s="1"/>
      <c r="E181" s="2"/>
      <c r="F181" s="2"/>
    </row>
    <row r="182">
      <c r="C182" s="1"/>
      <c r="E182" s="2"/>
      <c r="F182" s="2"/>
    </row>
    <row r="183">
      <c r="C183" s="1"/>
      <c r="E183" s="2"/>
      <c r="F183" s="2"/>
    </row>
    <row r="184">
      <c r="C184" s="1"/>
      <c r="E184" s="2"/>
      <c r="F184" s="2"/>
    </row>
    <row r="185">
      <c r="C185" s="1"/>
      <c r="E185" s="2"/>
      <c r="F185" s="2"/>
    </row>
    <row r="186">
      <c r="C186" s="1"/>
      <c r="E186" s="2"/>
      <c r="F186" s="2"/>
    </row>
    <row r="187">
      <c r="C187" s="1"/>
      <c r="E187" s="2"/>
      <c r="F187" s="2"/>
    </row>
    <row r="188">
      <c r="C188" s="1"/>
      <c r="E188" s="2"/>
      <c r="F188" s="2"/>
    </row>
    <row r="189">
      <c r="C189" s="1"/>
      <c r="E189" s="2"/>
      <c r="F189" s="2"/>
    </row>
    <row r="190">
      <c r="C190" s="1"/>
      <c r="E190" s="2"/>
      <c r="F190" s="2"/>
    </row>
    <row r="191">
      <c r="C191" s="1"/>
      <c r="E191" s="2"/>
      <c r="F191" s="2"/>
    </row>
    <row r="192">
      <c r="C192" s="1"/>
      <c r="E192" s="2"/>
      <c r="F192" s="2"/>
    </row>
    <row r="193">
      <c r="C193" s="1"/>
      <c r="E193" s="2"/>
      <c r="F193" s="2"/>
    </row>
    <row r="194">
      <c r="C194" s="1"/>
      <c r="E194" s="2"/>
      <c r="F194" s="2"/>
    </row>
    <row r="195">
      <c r="C195" s="1"/>
      <c r="E195" s="2"/>
      <c r="F195" s="2"/>
    </row>
    <row r="196">
      <c r="C196" s="1"/>
      <c r="E196" s="2"/>
      <c r="F196" s="2"/>
    </row>
    <row r="197">
      <c r="C197" s="1"/>
      <c r="E197" s="2"/>
      <c r="F197" s="2"/>
    </row>
    <row r="198">
      <c r="C198" s="1"/>
      <c r="E198" s="2"/>
      <c r="F198" s="2"/>
    </row>
    <row r="199">
      <c r="C199" s="1"/>
      <c r="E199" s="2"/>
      <c r="F199" s="2"/>
    </row>
    <row r="200">
      <c r="C200" s="1"/>
      <c r="E200" s="2"/>
      <c r="F200" s="2"/>
    </row>
    <row r="201">
      <c r="C201" s="1"/>
      <c r="E201" s="2"/>
      <c r="F201" s="2"/>
    </row>
    <row r="202">
      <c r="C202" s="1"/>
      <c r="E202" s="2"/>
      <c r="F202" s="2"/>
    </row>
    <row r="203">
      <c r="C203" s="1"/>
      <c r="E203" s="2"/>
      <c r="F203" s="2"/>
    </row>
    <row r="204">
      <c r="C204" s="1"/>
      <c r="E204" s="2"/>
      <c r="F204" s="2"/>
    </row>
    <row r="205">
      <c r="C205" s="1"/>
      <c r="E205" s="2"/>
      <c r="F205" s="2"/>
    </row>
    <row r="206">
      <c r="C206" s="1"/>
      <c r="E206" s="2"/>
      <c r="F206" s="2"/>
    </row>
    <row r="207">
      <c r="C207" s="1"/>
      <c r="E207" s="2"/>
      <c r="F207" s="2"/>
    </row>
    <row r="208">
      <c r="C208" s="1"/>
      <c r="E208" s="2"/>
      <c r="F208" s="2"/>
    </row>
    <row r="209">
      <c r="C209" s="1"/>
      <c r="E209" s="2"/>
      <c r="F209" s="2"/>
    </row>
    <row r="210">
      <c r="C210" s="1"/>
      <c r="E210" s="2"/>
      <c r="F210" s="2"/>
    </row>
    <row r="211">
      <c r="C211" s="1"/>
      <c r="E211" s="2"/>
      <c r="F211" s="2"/>
    </row>
    <row r="212">
      <c r="C212" s="1"/>
      <c r="E212" s="2"/>
      <c r="F212" s="2"/>
    </row>
    <row r="213">
      <c r="C213" s="1"/>
      <c r="E213" s="2"/>
      <c r="F213" s="2"/>
    </row>
    <row r="214">
      <c r="C214" s="1"/>
      <c r="E214" s="2"/>
      <c r="F214" s="2"/>
    </row>
    <row r="215">
      <c r="C215" s="1"/>
      <c r="E215" s="2"/>
      <c r="F215" s="2"/>
    </row>
    <row r="216">
      <c r="C216" s="1"/>
      <c r="E216" s="2"/>
      <c r="F216" s="2"/>
    </row>
    <row r="217">
      <c r="C217" s="1"/>
      <c r="E217" s="2"/>
      <c r="F217" s="2"/>
    </row>
    <row r="218">
      <c r="C218" s="1"/>
      <c r="E218" s="2"/>
      <c r="F218" s="2"/>
    </row>
    <row r="219">
      <c r="C219" s="1"/>
      <c r="E219" s="2"/>
      <c r="F219" s="2"/>
    </row>
    <row r="220">
      <c r="C220" s="1"/>
      <c r="E220" s="2"/>
      <c r="F220" s="2"/>
    </row>
    <row r="221">
      <c r="C221" s="1"/>
      <c r="E221" s="2"/>
      <c r="F221" s="2"/>
    </row>
    <row r="222">
      <c r="C222" s="1"/>
      <c r="E222" s="2"/>
      <c r="F222" s="2"/>
    </row>
    <row r="223">
      <c r="C223" s="1"/>
      <c r="E223" s="2"/>
      <c r="F223" s="2"/>
    </row>
    <row r="224">
      <c r="C224" s="1"/>
      <c r="E224" s="2"/>
      <c r="F224" s="2"/>
    </row>
    <row r="225">
      <c r="C225" s="1"/>
      <c r="E225" s="2"/>
      <c r="F225" s="2"/>
    </row>
    <row r="226">
      <c r="C226" s="1"/>
      <c r="E226" s="2"/>
      <c r="F226" s="2"/>
    </row>
    <row r="227">
      <c r="C227" s="1"/>
      <c r="E227" s="2"/>
      <c r="F227" s="2"/>
    </row>
    <row r="228">
      <c r="C228" s="1"/>
      <c r="E228" s="2"/>
      <c r="F228" s="2"/>
    </row>
    <row r="229">
      <c r="C229" s="1"/>
      <c r="E229" s="2"/>
      <c r="F229" s="2"/>
    </row>
    <row r="230">
      <c r="C230" s="1"/>
      <c r="E230" s="2"/>
      <c r="F230" s="2"/>
    </row>
    <row r="231">
      <c r="C231" s="1"/>
      <c r="E231" s="2"/>
      <c r="F231" s="2"/>
    </row>
    <row r="232">
      <c r="C232" s="1"/>
      <c r="E232" s="2"/>
      <c r="F232" s="2"/>
    </row>
    <row r="233">
      <c r="C233" s="1"/>
      <c r="E233" s="2"/>
      <c r="F233" s="2"/>
    </row>
    <row r="234">
      <c r="C234" s="1"/>
      <c r="E234" s="2"/>
      <c r="F234" s="2"/>
    </row>
    <row r="235">
      <c r="C235" s="1"/>
      <c r="E235" s="2"/>
      <c r="F235" s="2"/>
    </row>
    <row r="236">
      <c r="C236" s="1"/>
      <c r="E236" s="2"/>
      <c r="F236" s="2"/>
    </row>
    <row r="237">
      <c r="C237" s="1"/>
      <c r="E237" s="2"/>
      <c r="F237" s="2"/>
    </row>
    <row r="238">
      <c r="C238" s="1"/>
      <c r="E238" s="2"/>
      <c r="F238" s="2"/>
    </row>
    <row r="239">
      <c r="C239" s="1"/>
      <c r="E239" s="2"/>
      <c r="F239" s="2"/>
    </row>
    <row r="240">
      <c r="C240" s="1"/>
      <c r="E240" s="2"/>
      <c r="F240" s="2"/>
    </row>
    <row r="241">
      <c r="C241" s="1"/>
      <c r="E241" s="2"/>
      <c r="F241" s="2"/>
    </row>
    <row r="242">
      <c r="C242" s="1"/>
      <c r="E242" s="2"/>
      <c r="F242" s="2"/>
    </row>
    <row r="243">
      <c r="C243" s="1"/>
      <c r="E243" s="2"/>
      <c r="F243" s="2"/>
    </row>
    <row r="244">
      <c r="C244" s="1"/>
      <c r="E244" s="2"/>
      <c r="F244" s="2"/>
    </row>
    <row r="245">
      <c r="C245" s="1"/>
      <c r="E245" s="2"/>
      <c r="F245" s="2"/>
    </row>
    <row r="246">
      <c r="C246" s="1"/>
      <c r="E246" s="2"/>
      <c r="F246" s="2"/>
    </row>
    <row r="247">
      <c r="C247" s="1"/>
      <c r="E247" s="2"/>
      <c r="F247" s="2"/>
    </row>
    <row r="248">
      <c r="C248" s="1"/>
      <c r="E248" s="2"/>
      <c r="F248" s="2"/>
    </row>
    <row r="249">
      <c r="C249" s="1"/>
      <c r="E249" s="2"/>
      <c r="F249" s="2"/>
    </row>
    <row r="250">
      <c r="C250" s="1"/>
      <c r="E250" s="2"/>
      <c r="F250" s="2"/>
    </row>
    <row r="251">
      <c r="C251" s="1"/>
      <c r="E251" s="2"/>
      <c r="F251" s="2"/>
    </row>
    <row r="252">
      <c r="C252" s="1"/>
      <c r="E252" s="2"/>
      <c r="F252" s="2"/>
    </row>
    <row r="253">
      <c r="C253" s="1"/>
      <c r="E253" s="2"/>
      <c r="F253" s="2"/>
    </row>
    <row r="254">
      <c r="C254" s="1"/>
      <c r="E254" s="2"/>
      <c r="F254" s="2"/>
    </row>
    <row r="255">
      <c r="C255" s="1"/>
      <c r="E255" s="2"/>
      <c r="F255" s="2"/>
    </row>
    <row r="256">
      <c r="C256" s="1"/>
      <c r="E256" s="2"/>
      <c r="F256" s="2"/>
    </row>
    <row r="257">
      <c r="C257" s="1"/>
      <c r="E257" s="2"/>
      <c r="F257" s="2"/>
    </row>
    <row r="258">
      <c r="C258" s="1"/>
      <c r="E258" s="2"/>
      <c r="F258" s="2"/>
    </row>
    <row r="259">
      <c r="C259" s="1"/>
      <c r="E259" s="2"/>
      <c r="F259" s="2"/>
    </row>
    <row r="260">
      <c r="C260" s="1"/>
      <c r="E260" s="2"/>
      <c r="F260" s="2"/>
    </row>
    <row r="261">
      <c r="C261" s="1"/>
      <c r="E261" s="2"/>
      <c r="F261" s="2"/>
    </row>
    <row r="262">
      <c r="C262" s="1"/>
      <c r="E262" s="2"/>
      <c r="F262" s="2"/>
    </row>
    <row r="263">
      <c r="C263" s="1"/>
      <c r="E263" s="2"/>
      <c r="F263" s="2"/>
    </row>
    <row r="264">
      <c r="C264" s="1"/>
      <c r="E264" s="2"/>
      <c r="F264" s="2"/>
    </row>
    <row r="265">
      <c r="C265" s="1"/>
      <c r="E265" s="2"/>
      <c r="F265" s="2"/>
    </row>
    <row r="266">
      <c r="C266" s="1"/>
      <c r="E266" s="2"/>
      <c r="F266" s="2"/>
    </row>
    <row r="267">
      <c r="C267" s="1"/>
      <c r="E267" s="2"/>
      <c r="F267" s="2"/>
    </row>
    <row r="268">
      <c r="C268" s="1"/>
      <c r="E268" s="2"/>
      <c r="F268" s="2"/>
    </row>
    <row r="269">
      <c r="C269" s="1"/>
      <c r="E269" s="2"/>
      <c r="F269" s="2"/>
    </row>
    <row r="270">
      <c r="C270" s="1"/>
      <c r="E270" s="2"/>
      <c r="F270" s="2"/>
    </row>
    <row r="271">
      <c r="C271" s="1"/>
      <c r="E271" s="2"/>
      <c r="F271" s="2"/>
    </row>
    <row r="272">
      <c r="C272" s="1"/>
      <c r="E272" s="2"/>
      <c r="F272" s="2"/>
    </row>
    <row r="273">
      <c r="C273" s="1"/>
      <c r="E273" s="2"/>
      <c r="F273" s="2"/>
    </row>
    <row r="274">
      <c r="C274" s="1"/>
      <c r="E274" s="2"/>
      <c r="F274" s="2"/>
    </row>
    <row r="275">
      <c r="C275" s="1"/>
      <c r="E275" s="2"/>
      <c r="F275" s="2"/>
    </row>
    <row r="276">
      <c r="C276" s="1"/>
      <c r="E276" s="2"/>
      <c r="F276" s="2"/>
    </row>
    <row r="277">
      <c r="C277" s="1"/>
      <c r="E277" s="2"/>
      <c r="F277" s="2"/>
    </row>
    <row r="278">
      <c r="C278" s="1"/>
      <c r="E278" s="2"/>
      <c r="F278" s="2"/>
    </row>
    <row r="279">
      <c r="C279" s="1"/>
      <c r="E279" s="2"/>
      <c r="F279" s="2"/>
    </row>
    <row r="280">
      <c r="C280" s="1"/>
      <c r="E280" s="2"/>
      <c r="F280" s="2"/>
    </row>
    <row r="281">
      <c r="C281" s="1"/>
      <c r="E281" s="2"/>
      <c r="F281" s="2"/>
    </row>
    <row r="282">
      <c r="C282" s="1"/>
      <c r="E282" s="2"/>
      <c r="F282" s="2"/>
    </row>
    <row r="283">
      <c r="C283" s="1"/>
      <c r="E283" s="2"/>
      <c r="F283" s="2"/>
    </row>
    <row r="284">
      <c r="C284" s="1"/>
      <c r="E284" s="2"/>
      <c r="F284" s="2"/>
    </row>
    <row r="285">
      <c r="C285" s="1"/>
      <c r="E285" s="2"/>
      <c r="F285" s="2"/>
    </row>
    <row r="286">
      <c r="C286" s="1"/>
      <c r="E286" s="2"/>
      <c r="F286" s="2"/>
    </row>
    <row r="287">
      <c r="C287" s="1"/>
      <c r="E287" s="2"/>
      <c r="F287" s="2"/>
    </row>
    <row r="288">
      <c r="C288" s="1"/>
      <c r="E288" s="2"/>
      <c r="F288" s="2"/>
    </row>
    <row r="289">
      <c r="C289" s="1"/>
      <c r="E289" s="2"/>
      <c r="F289" s="2"/>
    </row>
    <row r="290">
      <c r="C290" s="1"/>
      <c r="E290" s="2"/>
      <c r="F290" s="2"/>
    </row>
    <row r="291">
      <c r="C291" s="1"/>
      <c r="E291" s="2"/>
      <c r="F291" s="2"/>
    </row>
    <row r="292">
      <c r="C292" s="1"/>
      <c r="E292" s="2"/>
      <c r="F292" s="2"/>
    </row>
    <row r="293">
      <c r="C293" s="1"/>
      <c r="E293" s="2"/>
      <c r="F293" s="2"/>
    </row>
    <row r="294">
      <c r="C294" s="1"/>
      <c r="E294" s="2"/>
      <c r="F294" s="2"/>
    </row>
    <row r="295">
      <c r="C295" s="1"/>
      <c r="E295" s="2"/>
      <c r="F295" s="2"/>
    </row>
    <row r="296">
      <c r="C296" s="1"/>
      <c r="E296" s="2"/>
      <c r="F296" s="2"/>
    </row>
    <row r="297">
      <c r="C297" s="1"/>
      <c r="E297" s="2"/>
      <c r="F297" s="2"/>
    </row>
    <row r="298">
      <c r="C298" s="1"/>
      <c r="E298" s="2"/>
      <c r="F298" s="2"/>
    </row>
    <row r="299">
      <c r="C299" s="1"/>
      <c r="E299" s="2"/>
      <c r="F299" s="2"/>
    </row>
    <row r="300">
      <c r="C300" s="1"/>
      <c r="E300" s="2"/>
      <c r="F300" s="2"/>
    </row>
    <row r="301">
      <c r="C301" s="1"/>
      <c r="E301" s="2"/>
      <c r="F301" s="2"/>
    </row>
    <row r="302">
      <c r="C302" s="1"/>
      <c r="E302" s="2"/>
      <c r="F302" s="2"/>
    </row>
    <row r="303">
      <c r="C303" s="1"/>
      <c r="E303" s="2"/>
      <c r="F303" s="2"/>
    </row>
    <row r="304">
      <c r="C304" s="1"/>
      <c r="E304" s="2"/>
      <c r="F304" s="2"/>
    </row>
    <row r="305">
      <c r="C305" s="1"/>
      <c r="E305" s="2"/>
      <c r="F305" s="2"/>
    </row>
    <row r="306">
      <c r="C306" s="1"/>
      <c r="E306" s="2"/>
      <c r="F306" s="2"/>
    </row>
    <row r="307">
      <c r="C307" s="1"/>
      <c r="E307" s="2"/>
      <c r="F307" s="2"/>
    </row>
    <row r="308">
      <c r="C308" s="1"/>
      <c r="E308" s="2"/>
      <c r="F308" s="2"/>
    </row>
    <row r="309">
      <c r="C309" s="1"/>
      <c r="E309" s="2"/>
      <c r="F309" s="2"/>
    </row>
    <row r="310">
      <c r="C310" s="1"/>
      <c r="E310" s="2"/>
      <c r="F310" s="2"/>
    </row>
    <row r="311">
      <c r="C311" s="1"/>
      <c r="E311" s="2"/>
      <c r="F311" s="2"/>
    </row>
    <row r="312">
      <c r="C312" s="1"/>
      <c r="E312" s="2"/>
      <c r="F312" s="2"/>
    </row>
    <row r="313">
      <c r="C313" s="1"/>
      <c r="E313" s="2"/>
      <c r="F313" s="2"/>
    </row>
    <row r="314">
      <c r="C314" s="1"/>
      <c r="E314" s="2"/>
      <c r="F314" s="2"/>
    </row>
    <row r="315">
      <c r="C315" s="1"/>
      <c r="E315" s="2"/>
      <c r="F315" s="2"/>
    </row>
    <row r="316">
      <c r="C316" s="1"/>
      <c r="E316" s="2"/>
      <c r="F316" s="2"/>
    </row>
    <row r="317">
      <c r="C317" s="1"/>
      <c r="E317" s="2"/>
      <c r="F317" s="2"/>
    </row>
    <row r="318">
      <c r="C318" s="1"/>
      <c r="E318" s="2"/>
      <c r="F318" s="2"/>
    </row>
    <row r="319">
      <c r="C319" s="1"/>
      <c r="E319" s="2"/>
      <c r="F319" s="2"/>
    </row>
    <row r="320">
      <c r="C320" s="1"/>
      <c r="E320" s="2"/>
      <c r="F320" s="2"/>
    </row>
    <row r="321">
      <c r="C321" s="1"/>
      <c r="E321" s="2"/>
      <c r="F321" s="2"/>
    </row>
    <row r="322">
      <c r="C322" s="1"/>
      <c r="E322" s="2"/>
      <c r="F322" s="2"/>
    </row>
    <row r="323">
      <c r="C323" s="1"/>
      <c r="E323" s="2"/>
      <c r="F323" s="2"/>
    </row>
    <row r="324">
      <c r="C324" s="1"/>
      <c r="E324" s="2"/>
      <c r="F324" s="2"/>
    </row>
    <row r="325">
      <c r="C325" s="1"/>
      <c r="E325" s="2"/>
      <c r="F325" s="2"/>
    </row>
    <row r="326">
      <c r="C326" s="1"/>
      <c r="E326" s="2"/>
      <c r="F326" s="2"/>
    </row>
    <row r="327">
      <c r="C327" s="1"/>
      <c r="E327" s="2"/>
      <c r="F327" s="2"/>
    </row>
    <row r="328">
      <c r="C328" s="1"/>
      <c r="E328" s="2"/>
      <c r="F328" s="2"/>
    </row>
    <row r="329">
      <c r="C329" s="1"/>
      <c r="E329" s="2"/>
      <c r="F329" s="2"/>
    </row>
    <row r="330">
      <c r="C330" s="1"/>
      <c r="E330" s="2"/>
      <c r="F330" s="2"/>
    </row>
    <row r="331">
      <c r="C331" s="1"/>
      <c r="E331" s="2"/>
      <c r="F331" s="2"/>
    </row>
    <row r="332">
      <c r="C332" s="1"/>
      <c r="E332" s="2"/>
      <c r="F332" s="2"/>
    </row>
    <row r="333">
      <c r="C333" s="1"/>
      <c r="E333" s="2"/>
      <c r="F333" s="2"/>
    </row>
    <row r="334">
      <c r="C334" s="1"/>
      <c r="E334" s="2"/>
      <c r="F334" s="2"/>
    </row>
    <row r="335">
      <c r="C335" s="1"/>
      <c r="E335" s="2"/>
      <c r="F335" s="2"/>
    </row>
    <row r="336">
      <c r="C336" s="1"/>
      <c r="E336" s="2"/>
      <c r="F336" s="2"/>
    </row>
    <row r="337">
      <c r="C337" s="1"/>
      <c r="E337" s="2"/>
      <c r="F337" s="2"/>
    </row>
    <row r="338">
      <c r="C338" s="1"/>
      <c r="E338" s="2"/>
      <c r="F338" s="2"/>
    </row>
    <row r="339">
      <c r="C339" s="1"/>
      <c r="E339" s="2"/>
      <c r="F339" s="2"/>
    </row>
    <row r="340">
      <c r="C340" s="1"/>
      <c r="E340" s="2"/>
      <c r="F340" s="2"/>
    </row>
    <row r="341">
      <c r="C341" s="1"/>
      <c r="E341" s="2"/>
      <c r="F341" s="2"/>
    </row>
    <row r="342">
      <c r="C342" s="1"/>
      <c r="E342" s="2"/>
      <c r="F342" s="2"/>
    </row>
    <row r="343">
      <c r="C343" s="1"/>
      <c r="E343" s="2"/>
      <c r="F343" s="2"/>
    </row>
    <row r="344">
      <c r="C344" s="1"/>
      <c r="E344" s="2"/>
      <c r="F344" s="2"/>
    </row>
    <row r="345">
      <c r="C345" s="1"/>
      <c r="E345" s="2"/>
      <c r="F345" s="2"/>
    </row>
    <row r="346">
      <c r="C346" s="1"/>
      <c r="E346" s="2"/>
      <c r="F346" s="2"/>
    </row>
    <row r="347">
      <c r="C347" s="1"/>
      <c r="E347" s="2"/>
      <c r="F347" s="2"/>
    </row>
    <row r="348">
      <c r="C348" s="1"/>
      <c r="E348" s="2"/>
      <c r="F348" s="2"/>
    </row>
    <row r="349">
      <c r="C349" s="1"/>
      <c r="E349" s="2"/>
      <c r="F349" s="2"/>
    </row>
    <row r="350">
      <c r="C350" s="1"/>
      <c r="E350" s="2"/>
      <c r="F350" s="2"/>
    </row>
    <row r="351">
      <c r="C351" s="1"/>
      <c r="E351" s="2"/>
      <c r="F351" s="2"/>
    </row>
    <row r="352">
      <c r="C352" s="1"/>
      <c r="E352" s="2"/>
      <c r="F352" s="2"/>
    </row>
    <row r="353">
      <c r="C353" s="1"/>
      <c r="E353" s="2"/>
      <c r="F353" s="2"/>
    </row>
    <row r="354">
      <c r="C354" s="1"/>
      <c r="E354" s="2"/>
      <c r="F354" s="2"/>
    </row>
    <row r="355">
      <c r="C355" s="1"/>
      <c r="E355" s="2"/>
      <c r="F355" s="2"/>
    </row>
    <row r="356">
      <c r="C356" s="1"/>
      <c r="E356" s="2"/>
      <c r="F356" s="2"/>
    </row>
    <row r="357">
      <c r="C357" s="1"/>
      <c r="E357" s="2"/>
      <c r="F357" s="2"/>
    </row>
    <row r="358">
      <c r="C358" s="1"/>
      <c r="E358" s="2"/>
      <c r="F358" s="2"/>
    </row>
    <row r="359">
      <c r="C359" s="1"/>
      <c r="E359" s="2"/>
      <c r="F359" s="2"/>
    </row>
    <row r="360">
      <c r="C360" s="1"/>
      <c r="E360" s="2"/>
      <c r="F360" s="2"/>
    </row>
    <row r="361">
      <c r="C361" s="1"/>
      <c r="E361" s="2"/>
      <c r="F361" s="2"/>
    </row>
    <row r="362">
      <c r="C362" s="1"/>
      <c r="E362" s="2"/>
      <c r="F362" s="2"/>
    </row>
    <row r="363">
      <c r="C363" s="1"/>
      <c r="E363" s="2"/>
      <c r="F363" s="2"/>
    </row>
    <row r="364">
      <c r="C364" s="1"/>
      <c r="E364" s="2"/>
      <c r="F364" s="2"/>
    </row>
    <row r="365">
      <c r="C365" s="1"/>
      <c r="E365" s="2"/>
      <c r="F365" s="2"/>
    </row>
    <row r="366">
      <c r="C366" s="1"/>
      <c r="E366" s="2"/>
      <c r="F366" s="2"/>
    </row>
    <row r="367">
      <c r="C367" s="1"/>
      <c r="E367" s="2"/>
      <c r="F367" s="2"/>
    </row>
    <row r="368">
      <c r="C368" s="1"/>
      <c r="E368" s="2"/>
      <c r="F368" s="2"/>
    </row>
    <row r="369">
      <c r="C369" s="1"/>
      <c r="E369" s="2"/>
      <c r="F369" s="2"/>
    </row>
    <row r="370">
      <c r="C370" s="1"/>
      <c r="E370" s="2"/>
      <c r="F370" s="2"/>
    </row>
    <row r="371">
      <c r="C371" s="1"/>
      <c r="E371" s="2"/>
      <c r="F371" s="2"/>
    </row>
    <row r="372">
      <c r="C372" s="1"/>
      <c r="E372" s="2"/>
      <c r="F372" s="2"/>
    </row>
    <row r="373">
      <c r="C373" s="1"/>
      <c r="E373" s="2"/>
      <c r="F373" s="2"/>
    </row>
    <row r="374">
      <c r="C374" s="1"/>
      <c r="E374" s="2"/>
      <c r="F374" s="2"/>
    </row>
    <row r="375">
      <c r="C375" s="1"/>
      <c r="E375" s="2"/>
      <c r="F375" s="2"/>
    </row>
    <row r="376">
      <c r="C376" s="1"/>
      <c r="E376" s="2"/>
      <c r="F376" s="2"/>
    </row>
    <row r="377">
      <c r="C377" s="1"/>
      <c r="E377" s="2"/>
      <c r="F377" s="2"/>
    </row>
    <row r="378">
      <c r="C378" s="1"/>
      <c r="E378" s="2"/>
      <c r="F378" s="2"/>
    </row>
    <row r="379">
      <c r="C379" s="1"/>
      <c r="E379" s="2"/>
      <c r="F379" s="2"/>
    </row>
    <row r="380">
      <c r="C380" s="1"/>
      <c r="E380" s="2"/>
      <c r="F380" s="2"/>
    </row>
    <row r="381">
      <c r="C381" s="1"/>
      <c r="E381" s="2"/>
      <c r="F381" s="2"/>
    </row>
    <row r="382">
      <c r="C382" s="1"/>
      <c r="E382" s="2"/>
      <c r="F382" s="2"/>
    </row>
    <row r="383">
      <c r="C383" s="1"/>
      <c r="E383" s="2"/>
      <c r="F383" s="2"/>
    </row>
    <row r="384">
      <c r="C384" s="1"/>
      <c r="E384" s="2"/>
      <c r="F384" s="2"/>
    </row>
    <row r="385">
      <c r="C385" s="1"/>
      <c r="E385" s="2"/>
      <c r="F385" s="2"/>
    </row>
    <row r="386">
      <c r="C386" s="1"/>
      <c r="E386" s="2"/>
      <c r="F386" s="2"/>
    </row>
    <row r="387">
      <c r="C387" s="1"/>
      <c r="E387" s="2"/>
      <c r="F387" s="2"/>
    </row>
    <row r="388">
      <c r="C388" s="1"/>
      <c r="E388" s="2"/>
      <c r="F388" s="2"/>
    </row>
    <row r="389">
      <c r="C389" s="1"/>
      <c r="E389" s="2"/>
      <c r="F389" s="2"/>
    </row>
    <row r="390">
      <c r="C390" s="1"/>
      <c r="E390" s="2"/>
      <c r="F390" s="2"/>
    </row>
    <row r="391">
      <c r="C391" s="1"/>
      <c r="E391" s="2"/>
      <c r="F391" s="2"/>
    </row>
    <row r="392">
      <c r="C392" s="1"/>
      <c r="E392" s="2"/>
      <c r="F392" s="2"/>
    </row>
    <row r="393">
      <c r="C393" s="1"/>
      <c r="E393" s="2"/>
      <c r="F393" s="2"/>
    </row>
    <row r="394">
      <c r="C394" s="1"/>
      <c r="E394" s="2"/>
      <c r="F394" s="2"/>
    </row>
    <row r="395">
      <c r="C395" s="1"/>
      <c r="E395" s="2"/>
      <c r="F395" s="2"/>
    </row>
    <row r="396">
      <c r="C396" s="1"/>
      <c r="E396" s="2"/>
      <c r="F396" s="2"/>
    </row>
    <row r="397">
      <c r="C397" s="1"/>
      <c r="E397" s="2"/>
      <c r="F397" s="2"/>
    </row>
    <row r="398">
      <c r="C398" s="1"/>
      <c r="E398" s="2"/>
      <c r="F398" s="2"/>
    </row>
    <row r="399">
      <c r="C399" s="1"/>
      <c r="E399" s="2"/>
      <c r="F399" s="2"/>
    </row>
    <row r="400">
      <c r="C400" s="1"/>
      <c r="E400" s="2"/>
      <c r="F400" s="2"/>
    </row>
    <row r="401">
      <c r="C401" s="1"/>
      <c r="E401" s="2"/>
      <c r="F401" s="2"/>
    </row>
    <row r="402">
      <c r="C402" s="1"/>
      <c r="E402" s="2"/>
      <c r="F402" s="2"/>
    </row>
    <row r="403">
      <c r="C403" s="1"/>
      <c r="E403" s="2"/>
      <c r="F403" s="2"/>
    </row>
    <row r="404">
      <c r="C404" s="1"/>
      <c r="E404" s="2"/>
      <c r="F404" s="2"/>
    </row>
    <row r="405">
      <c r="C405" s="1"/>
      <c r="E405" s="2"/>
      <c r="F405" s="2"/>
    </row>
    <row r="406">
      <c r="C406" s="1"/>
      <c r="E406" s="2"/>
      <c r="F406" s="2"/>
    </row>
    <row r="407">
      <c r="C407" s="1"/>
      <c r="E407" s="2"/>
      <c r="F407" s="2"/>
    </row>
    <row r="408">
      <c r="C408" s="1"/>
      <c r="E408" s="2"/>
      <c r="F408" s="2"/>
    </row>
    <row r="409">
      <c r="C409" s="1"/>
      <c r="E409" s="2"/>
      <c r="F409" s="2"/>
    </row>
    <row r="410">
      <c r="C410" s="1"/>
      <c r="E410" s="2"/>
      <c r="F410" s="2"/>
    </row>
    <row r="411">
      <c r="C411" s="1"/>
      <c r="E411" s="2"/>
      <c r="F411" s="2"/>
    </row>
    <row r="412">
      <c r="C412" s="1"/>
      <c r="E412" s="2"/>
      <c r="F412" s="2"/>
    </row>
    <row r="413">
      <c r="C413" s="1"/>
      <c r="E413" s="2"/>
      <c r="F413" s="2"/>
    </row>
    <row r="414">
      <c r="C414" s="1"/>
      <c r="E414" s="2"/>
      <c r="F414" s="2"/>
    </row>
    <row r="415">
      <c r="C415" s="1"/>
      <c r="E415" s="2"/>
      <c r="F415" s="2"/>
    </row>
    <row r="416">
      <c r="C416" s="1"/>
      <c r="E416" s="2"/>
      <c r="F416" s="2"/>
    </row>
    <row r="417">
      <c r="C417" s="1"/>
      <c r="E417" s="2"/>
      <c r="F417" s="2"/>
    </row>
    <row r="418">
      <c r="C418" s="1"/>
      <c r="E418" s="2"/>
      <c r="F418" s="2"/>
    </row>
    <row r="419">
      <c r="C419" s="1"/>
      <c r="E419" s="2"/>
      <c r="F419" s="2"/>
    </row>
    <row r="420">
      <c r="C420" s="1"/>
      <c r="E420" s="2"/>
      <c r="F420" s="2"/>
    </row>
    <row r="421">
      <c r="C421" s="1"/>
      <c r="E421" s="2"/>
      <c r="F421" s="2"/>
    </row>
    <row r="422">
      <c r="C422" s="1"/>
      <c r="E422" s="2"/>
      <c r="F422" s="2"/>
    </row>
    <row r="423">
      <c r="C423" s="1"/>
      <c r="E423" s="2"/>
      <c r="F423" s="2"/>
    </row>
    <row r="424">
      <c r="C424" s="1"/>
      <c r="E424" s="2"/>
      <c r="F424" s="2"/>
    </row>
    <row r="425">
      <c r="C425" s="1"/>
      <c r="E425" s="2"/>
      <c r="F425" s="2"/>
    </row>
    <row r="426">
      <c r="C426" s="1"/>
      <c r="E426" s="2"/>
      <c r="F426" s="2"/>
    </row>
    <row r="427">
      <c r="C427" s="1"/>
      <c r="E427" s="2"/>
      <c r="F427" s="2"/>
    </row>
    <row r="428">
      <c r="C428" s="1"/>
      <c r="E428" s="2"/>
      <c r="F428" s="2"/>
    </row>
    <row r="429">
      <c r="C429" s="1"/>
      <c r="E429" s="2"/>
      <c r="F429" s="2"/>
    </row>
    <row r="430">
      <c r="C430" s="1"/>
      <c r="E430" s="2"/>
      <c r="F430" s="2"/>
    </row>
    <row r="431">
      <c r="C431" s="1"/>
      <c r="E431" s="2"/>
      <c r="F431" s="2"/>
    </row>
    <row r="432">
      <c r="C432" s="1"/>
      <c r="E432" s="2"/>
      <c r="F432" s="2"/>
    </row>
    <row r="433">
      <c r="C433" s="1"/>
      <c r="E433" s="2"/>
      <c r="F433" s="2"/>
    </row>
    <row r="434">
      <c r="C434" s="1"/>
      <c r="E434" s="2"/>
      <c r="F434" s="2"/>
    </row>
    <row r="435">
      <c r="C435" s="1"/>
      <c r="E435" s="2"/>
      <c r="F435" s="2"/>
    </row>
    <row r="436">
      <c r="C436" s="1"/>
      <c r="E436" s="2"/>
      <c r="F436" s="2"/>
    </row>
    <row r="437">
      <c r="C437" s="1"/>
      <c r="E437" s="2"/>
      <c r="F437" s="2"/>
    </row>
    <row r="438">
      <c r="C438" s="1"/>
      <c r="E438" s="2"/>
      <c r="F438" s="2"/>
    </row>
    <row r="439">
      <c r="C439" s="1"/>
      <c r="E439" s="2"/>
      <c r="F439" s="2"/>
    </row>
    <row r="440">
      <c r="C440" s="1"/>
      <c r="E440" s="2"/>
      <c r="F440" s="2"/>
    </row>
    <row r="441">
      <c r="C441" s="1"/>
      <c r="E441" s="2"/>
      <c r="F441" s="2"/>
    </row>
    <row r="442">
      <c r="C442" s="1"/>
      <c r="E442" s="2"/>
      <c r="F442" s="2"/>
    </row>
    <row r="443">
      <c r="C443" s="1"/>
      <c r="E443" s="2"/>
      <c r="F443" s="2"/>
    </row>
    <row r="444">
      <c r="C444" s="1"/>
      <c r="E444" s="2"/>
      <c r="F444" s="2"/>
    </row>
    <row r="445">
      <c r="C445" s="1"/>
      <c r="E445" s="2"/>
      <c r="F445" s="2"/>
    </row>
    <row r="446">
      <c r="C446" s="1"/>
      <c r="E446" s="2"/>
      <c r="F446" s="2"/>
    </row>
    <row r="447">
      <c r="C447" s="1"/>
      <c r="E447" s="2"/>
      <c r="F447" s="2"/>
    </row>
    <row r="448">
      <c r="C448" s="1"/>
      <c r="E448" s="2"/>
      <c r="F448" s="2"/>
    </row>
    <row r="449">
      <c r="C449" s="1"/>
      <c r="E449" s="2"/>
      <c r="F449" s="2"/>
    </row>
    <row r="450">
      <c r="C450" s="1"/>
      <c r="E450" s="2"/>
      <c r="F450" s="2"/>
    </row>
    <row r="451">
      <c r="C451" s="1"/>
      <c r="E451" s="2"/>
      <c r="F451" s="2"/>
    </row>
    <row r="452">
      <c r="C452" s="1"/>
      <c r="E452" s="2"/>
      <c r="F452" s="2"/>
    </row>
    <row r="453">
      <c r="C453" s="1"/>
      <c r="E453" s="2"/>
      <c r="F453" s="2"/>
    </row>
    <row r="454">
      <c r="C454" s="1"/>
      <c r="E454" s="2"/>
      <c r="F454" s="2"/>
    </row>
    <row r="455">
      <c r="C455" s="1"/>
      <c r="E455" s="2"/>
      <c r="F455" s="2"/>
    </row>
    <row r="456">
      <c r="C456" s="1"/>
      <c r="E456" s="2"/>
      <c r="F456" s="2"/>
    </row>
    <row r="457">
      <c r="C457" s="1"/>
      <c r="E457" s="2"/>
      <c r="F457" s="2"/>
    </row>
    <row r="458">
      <c r="C458" s="1"/>
      <c r="E458" s="2"/>
      <c r="F458" s="2"/>
    </row>
    <row r="459">
      <c r="C459" s="1"/>
      <c r="E459" s="2"/>
      <c r="F459" s="2"/>
    </row>
    <row r="460">
      <c r="C460" s="1"/>
      <c r="E460" s="2"/>
      <c r="F460" s="2"/>
    </row>
    <row r="461">
      <c r="C461" s="1"/>
      <c r="E461" s="2"/>
      <c r="F461" s="2"/>
    </row>
    <row r="462">
      <c r="C462" s="1"/>
      <c r="E462" s="2"/>
      <c r="F462" s="2"/>
    </row>
    <row r="463">
      <c r="C463" s="1"/>
      <c r="E463" s="2"/>
      <c r="F463" s="2"/>
    </row>
    <row r="464">
      <c r="C464" s="1"/>
      <c r="E464" s="2"/>
      <c r="F464" s="2"/>
    </row>
    <row r="465">
      <c r="C465" s="1"/>
      <c r="E465" s="2"/>
      <c r="F465" s="2"/>
    </row>
    <row r="466">
      <c r="C466" s="1"/>
      <c r="E466" s="2"/>
      <c r="F466" s="2"/>
    </row>
    <row r="467">
      <c r="C467" s="1"/>
      <c r="E467" s="2"/>
      <c r="F467" s="2"/>
    </row>
    <row r="468">
      <c r="C468" s="1"/>
      <c r="E468" s="2"/>
      <c r="F468" s="2"/>
    </row>
    <row r="469">
      <c r="C469" s="1"/>
      <c r="E469" s="2"/>
      <c r="F469" s="2"/>
    </row>
    <row r="470">
      <c r="C470" s="1"/>
      <c r="E470" s="2"/>
      <c r="F470" s="2"/>
    </row>
    <row r="471">
      <c r="C471" s="1"/>
      <c r="E471" s="2"/>
      <c r="F471" s="2"/>
    </row>
    <row r="472">
      <c r="C472" s="1"/>
      <c r="E472" s="2"/>
      <c r="F472" s="2"/>
    </row>
    <row r="473">
      <c r="C473" s="1"/>
      <c r="E473" s="2"/>
      <c r="F473" s="2"/>
    </row>
    <row r="474">
      <c r="C474" s="1"/>
      <c r="E474" s="2"/>
      <c r="F474" s="2"/>
    </row>
    <row r="475">
      <c r="C475" s="1"/>
      <c r="E475" s="2"/>
      <c r="F475" s="2"/>
    </row>
    <row r="476">
      <c r="C476" s="1"/>
      <c r="E476" s="2"/>
      <c r="F476" s="2"/>
    </row>
    <row r="477">
      <c r="C477" s="1"/>
      <c r="E477" s="2"/>
      <c r="F477" s="2"/>
    </row>
    <row r="478">
      <c r="C478" s="1"/>
      <c r="E478" s="2"/>
      <c r="F478" s="2"/>
    </row>
    <row r="479">
      <c r="C479" s="1"/>
      <c r="E479" s="2"/>
      <c r="F479" s="2"/>
    </row>
    <row r="480">
      <c r="C480" s="1"/>
      <c r="E480" s="2"/>
      <c r="F480" s="2"/>
    </row>
    <row r="481">
      <c r="C481" s="1"/>
      <c r="E481" s="2"/>
      <c r="F481" s="2"/>
    </row>
    <row r="482">
      <c r="C482" s="1"/>
      <c r="E482" s="2"/>
      <c r="F482" s="2"/>
    </row>
    <row r="483">
      <c r="C483" s="1"/>
      <c r="E483" s="2"/>
      <c r="F483" s="2"/>
    </row>
    <row r="484">
      <c r="C484" s="1"/>
      <c r="E484" s="2"/>
      <c r="F484" s="2"/>
    </row>
    <row r="485">
      <c r="C485" s="1"/>
      <c r="E485" s="2"/>
      <c r="F485" s="2"/>
    </row>
    <row r="486">
      <c r="C486" s="1"/>
      <c r="E486" s="2"/>
      <c r="F486" s="2"/>
    </row>
    <row r="487">
      <c r="C487" s="1"/>
      <c r="E487" s="2"/>
      <c r="F487" s="2"/>
    </row>
    <row r="488">
      <c r="C488" s="1"/>
      <c r="E488" s="2"/>
      <c r="F488" s="2"/>
    </row>
    <row r="489">
      <c r="C489" s="1"/>
      <c r="E489" s="2"/>
      <c r="F489" s="2"/>
    </row>
    <row r="490">
      <c r="C490" s="1"/>
      <c r="E490" s="2"/>
      <c r="F490" s="2"/>
    </row>
    <row r="491">
      <c r="C491" s="1"/>
      <c r="E491" s="2"/>
      <c r="F491" s="2"/>
    </row>
    <row r="492">
      <c r="C492" s="1"/>
      <c r="E492" s="2"/>
      <c r="F492" s="2"/>
    </row>
    <row r="493">
      <c r="C493" s="1"/>
      <c r="E493" s="2"/>
      <c r="F493" s="2"/>
    </row>
    <row r="494">
      <c r="C494" s="1"/>
      <c r="E494" s="2"/>
      <c r="F494" s="2"/>
    </row>
    <row r="495">
      <c r="C495" s="1"/>
      <c r="E495" s="2"/>
      <c r="F495" s="2"/>
    </row>
    <row r="496">
      <c r="C496" s="1"/>
      <c r="E496" s="2"/>
      <c r="F496" s="2"/>
    </row>
    <row r="497">
      <c r="C497" s="1"/>
      <c r="E497" s="2"/>
      <c r="F497" s="2"/>
    </row>
    <row r="498">
      <c r="C498" s="1"/>
      <c r="E498" s="2"/>
      <c r="F498" s="2"/>
    </row>
    <row r="499">
      <c r="C499" s="1"/>
      <c r="E499" s="2"/>
      <c r="F499" s="2"/>
    </row>
    <row r="500">
      <c r="C500" s="1"/>
      <c r="E500" s="2"/>
      <c r="F500" s="2"/>
    </row>
    <row r="501">
      <c r="C501" s="1"/>
      <c r="E501" s="2"/>
      <c r="F501" s="2"/>
    </row>
    <row r="502">
      <c r="C502" s="1"/>
      <c r="E502" s="2"/>
      <c r="F502" s="2"/>
    </row>
    <row r="503">
      <c r="C503" s="1"/>
      <c r="E503" s="2"/>
      <c r="F503" s="2"/>
    </row>
    <row r="504">
      <c r="C504" s="1"/>
      <c r="E504" s="2"/>
      <c r="F504" s="2"/>
    </row>
    <row r="505">
      <c r="C505" s="1"/>
      <c r="E505" s="2"/>
      <c r="F505" s="2"/>
    </row>
    <row r="506">
      <c r="C506" s="1"/>
      <c r="E506" s="2"/>
      <c r="F506" s="2"/>
    </row>
    <row r="507">
      <c r="C507" s="1"/>
      <c r="E507" s="2"/>
      <c r="F507" s="2"/>
    </row>
    <row r="508">
      <c r="C508" s="1"/>
      <c r="E508" s="2"/>
      <c r="F508" s="2"/>
    </row>
    <row r="509">
      <c r="C509" s="1"/>
      <c r="E509" s="2"/>
      <c r="F509" s="2"/>
    </row>
    <row r="510">
      <c r="C510" s="1"/>
      <c r="E510" s="2"/>
      <c r="F510" s="2"/>
    </row>
    <row r="511">
      <c r="C511" s="1"/>
      <c r="E511" s="2"/>
      <c r="F511" s="2"/>
    </row>
    <row r="512">
      <c r="C512" s="1"/>
      <c r="E512" s="2"/>
      <c r="F512" s="2"/>
    </row>
    <row r="513">
      <c r="C513" s="1"/>
      <c r="E513" s="2"/>
      <c r="F513" s="2"/>
    </row>
    <row r="514">
      <c r="C514" s="1"/>
      <c r="E514" s="2"/>
      <c r="F514" s="2"/>
    </row>
    <row r="515">
      <c r="C515" s="1"/>
      <c r="E515" s="2"/>
      <c r="F515" s="2"/>
    </row>
    <row r="516">
      <c r="C516" s="1"/>
      <c r="E516" s="2"/>
      <c r="F516" s="2"/>
    </row>
    <row r="517">
      <c r="C517" s="1"/>
      <c r="E517" s="2"/>
      <c r="F517" s="2"/>
    </row>
    <row r="518">
      <c r="C518" s="1"/>
      <c r="E518" s="2"/>
      <c r="F518" s="2"/>
    </row>
    <row r="519">
      <c r="C519" s="1"/>
      <c r="E519" s="2"/>
      <c r="F519" s="2"/>
    </row>
    <row r="520">
      <c r="C520" s="1"/>
      <c r="E520" s="2"/>
      <c r="F520" s="2"/>
    </row>
    <row r="521">
      <c r="C521" s="1"/>
      <c r="E521" s="2"/>
      <c r="F521" s="2"/>
    </row>
    <row r="522">
      <c r="C522" s="1"/>
      <c r="E522" s="2"/>
      <c r="F522" s="2"/>
    </row>
    <row r="523">
      <c r="C523" s="1"/>
      <c r="E523" s="2"/>
      <c r="F523" s="2"/>
    </row>
    <row r="524">
      <c r="C524" s="1"/>
      <c r="E524" s="2"/>
      <c r="F524" s="2"/>
    </row>
    <row r="525">
      <c r="C525" s="1"/>
      <c r="E525" s="2"/>
      <c r="F525" s="2"/>
    </row>
    <row r="526">
      <c r="C526" s="1"/>
      <c r="E526" s="2"/>
      <c r="F526" s="2"/>
    </row>
    <row r="527">
      <c r="C527" s="1"/>
      <c r="E527" s="2"/>
      <c r="F527" s="2"/>
    </row>
    <row r="528">
      <c r="C528" s="1"/>
      <c r="E528" s="2"/>
      <c r="F528" s="2"/>
    </row>
    <row r="529">
      <c r="C529" s="1"/>
      <c r="E529" s="2"/>
      <c r="F529" s="2"/>
    </row>
    <row r="530">
      <c r="C530" s="1"/>
      <c r="E530" s="2"/>
      <c r="F530" s="2"/>
    </row>
    <row r="531">
      <c r="C531" s="1"/>
      <c r="E531" s="2"/>
      <c r="F531" s="2"/>
    </row>
    <row r="532">
      <c r="C532" s="1"/>
      <c r="E532" s="2"/>
      <c r="F532" s="2"/>
    </row>
    <row r="533">
      <c r="C533" s="1"/>
      <c r="E533" s="2"/>
      <c r="F533" s="2"/>
    </row>
    <row r="534">
      <c r="C534" s="1"/>
      <c r="E534" s="2"/>
      <c r="F534" s="2"/>
    </row>
    <row r="535">
      <c r="C535" s="1"/>
      <c r="E535" s="2"/>
      <c r="F535" s="2"/>
    </row>
    <row r="536">
      <c r="C536" s="1"/>
      <c r="E536" s="2"/>
      <c r="F536" s="2"/>
    </row>
    <row r="537">
      <c r="C537" s="1"/>
      <c r="E537" s="2"/>
      <c r="F537" s="2"/>
    </row>
    <row r="538">
      <c r="C538" s="1"/>
      <c r="E538" s="2"/>
      <c r="F538" s="2"/>
    </row>
    <row r="539">
      <c r="C539" s="1"/>
      <c r="E539" s="2"/>
      <c r="F539" s="2"/>
    </row>
    <row r="540">
      <c r="C540" s="1"/>
      <c r="E540" s="2"/>
      <c r="F540" s="2"/>
    </row>
    <row r="541">
      <c r="C541" s="1"/>
      <c r="E541" s="2"/>
      <c r="F541" s="2"/>
    </row>
    <row r="542">
      <c r="C542" s="1"/>
      <c r="E542" s="2"/>
      <c r="F542" s="2"/>
    </row>
    <row r="543">
      <c r="C543" s="1"/>
      <c r="E543" s="2"/>
      <c r="F543" s="2"/>
    </row>
    <row r="544">
      <c r="C544" s="1"/>
      <c r="E544" s="2"/>
      <c r="F544" s="2"/>
    </row>
    <row r="545">
      <c r="C545" s="1"/>
      <c r="E545" s="2"/>
      <c r="F545" s="2"/>
    </row>
    <row r="546">
      <c r="C546" s="1"/>
      <c r="E546" s="2"/>
      <c r="F546" s="2"/>
    </row>
    <row r="547">
      <c r="C547" s="1"/>
      <c r="E547" s="2"/>
      <c r="F547" s="2"/>
    </row>
    <row r="548">
      <c r="C548" s="1"/>
      <c r="E548" s="2"/>
      <c r="F548" s="2"/>
    </row>
    <row r="549">
      <c r="C549" s="1"/>
      <c r="E549" s="2"/>
      <c r="F549" s="2"/>
    </row>
    <row r="550">
      <c r="C550" s="1"/>
      <c r="E550" s="2"/>
      <c r="F550" s="2"/>
    </row>
    <row r="551">
      <c r="C551" s="1"/>
      <c r="E551" s="2"/>
      <c r="F551" s="2"/>
    </row>
    <row r="552">
      <c r="C552" s="1"/>
      <c r="E552" s="2"/>
      <c r="F552" s="2"/>
    </row>
    <row r="553">
      <c r="C553" s="1"/>
      <c r="E553" s="2"/>
      <c r="F553" s="2"/>
    </row>
    <row r="554">
      <c r="C554" s="1"/>
      <c r="E554" s="2"/>
      <c r="F554" s="2"/>
    </row>
    <row r="555">
      <c r="C555" s="1"/>
      <c r="E555" s="2"/>
      <c r="F555" s="2"/>
    </row>
    <row r="556">
      <c r="C556" s="1"/>
      <c r="E556" s="2"/>
      <c r="F556" s="2"/>
    </row>
    <row r="557">
      <c r="C557" s="1"/>
      <c r="E557" s="2"/>
      <c r="F557" s="2"/>
    </row>
    <row r="558">
      <c r="C558" s="1"/>
      <c r="E558" s="2"/>
      <c r="F558" s="2"/>
    </row>
    <row r="559">
      <c r="C559" s="1"/>
      <c r="E559" s="2"/>
      <c r="F559" s="2"/>
    </row>
    <row r="560">
      <c r="C560" s="1"/>
      <c r="E560" s="2"/>
      <c r="F560" s="2"/>
    </row>
    <row r="561">
      <c r="C561" s="1"/>
      <c r="E561" s="2"/>
      <c r="F561" s="2"/>
    </row>
    <row r="562">
      <c r="C562" s="1"/>
      <c r="E562" s="2"/>
      <c r="F562" s="2"/>
    </row>
    <row r="563">
      <c r="C563" s="1"/>
      <c r="E563" s="2"/>
      <c r="F563" s="2"/>
    </row>
    <row r="564">
      <c r="C564" s="1"/>
      <c r="E564" s="2"/>
      <c r="F564" s="2"/>
    </row>
    <row r="565">
      <c r="C565" s="1"/>
      <c r="E565" s="2"/>
      <c r="F565" s="2"/>
    </row>
    <row r="566">
      <c r="C566" s="1"/>
      <c r="E566" s="2"/>
      <c r="F566" s="2"/>
    </row>
    <row r="567">
      <c r="C567" s="1"/>
      <c r="E567" s="2"/>
      <c r="F567" s="2"/>
    </row>
    <row r="568">
      <c r="C568" s="1"/>
      <c r="E568" s="2"/>
      <c r="F568" s="2"/>
    </row>
    <row r="569">
      <c r="C569" s="1"/>
      <c r="E569" s="2"/>
      <c r="F569" s="2"/>
    </row>
    <row r="570">
      <c r="C570" s="1"/>
      <c r="E570" s="2"/>
      <c r="F570" s="2"/>
    </row>
    <row r="571">
      <c r="C571" s="1"/>
      <c r="E571" s="2"/>
      <c r="F571" s="2"/>
    </row>
    <row r="572">
      <c r="C572" s="1"/>
      <c r="E572" s="2"/>
      <c r="F572" s="2"/>
    </row>
    <row r="573">
      <c r="C573" s="1"/>
      <c r="E573" s="2"/>
      <c r="F573" s="2"/>
    </row>
    <row r="574">
      <c r="C574" s="1"/>
      <c r="E574" s="2"/>
      <c r="F574" s="2"/>
    </row>
    <row r="575">
      <c r="C575" s="1"/>
      <c r="E575" s="2"/>
      <c r="F575" s="2"/>
    </row>
    <row r="576">
      <c r="C576" s="1"/>
      <c r="E576" s="2"/>
      <c r="F576" s="2"/>
    </row>
    <row r="577">
      <c r="C577" s="1"/>
      <c r="E577" s="2"/>
      <c r="F577" s="2"/>
    </row>
    <row r="578">
      <c r="C578" s="1"/>
      <c r="E578" s="2"/>
      <c r="F578" s="2"/>
    </row>
    <row r="579">
      <c r="C579" s="1"/>
      <c r="E579" s="2"/>
      <c r="F579" s="2"/>
    </row>
    <row r="580">
      <c r="C580" s="1"/>
      <c r="E580" s="2"/>
      <c r="F580" s="2"/>
    </row>
    <row r="581">
      <c r="C581" s="1"/>
      <c r="E581" s="2"/>
      <c r="F581" s="2"/>
    </row>
    <row r="582">
      <c r="C582" s="1"/>
      <c r="E582" s="2"/>
      <c r="F582" s="2"/>
    </row>
    <row r="583">
      <c r="C583" s="1"/>
      <c r="E583" s="2"/>
      <c r="F583" s="2"/>
    </row>
    <row r="584">
      <c r="C584" s="1"/>
      <c r="E584" s="2"/>
      <c r="F584" s="2"/>
    </row>
    <row r="585">
      <c r="C585" s="1"/>
      <c r="E585" s="2"/>
      <c r="F585" s="2"/>
    </row>
    <row r="586">
      <c r="C586" s="1"/>
      <c r="E586" s="2"/>
      <c r="F586" s="2"/>
    </row>
    <row r="587">
      <c r="C587" s="1"/>
      <c r="E587" s="2"/>
      <c r="F587" s="2"/>
    </row>
    <row r="588">
      <c r="C588" s="1"/>
      <c r="E588" s="2"/>
      <c r="F588" s="2"/>
    </row>
    <row r="589">
      <c r="C589" s="1"/>
      <c r="E589" s="2"/>
      <c r="F589" s="2"/>
    </row>
    <row r="590">
      <c r="C590" s="1"/>
      <c r="E590" s="2"/>
      <c r="F590" s="2"/>
    </row>
    <row r="591">
      <c r="C591" s="1"/>
      <c r="E591" s="2"/>
      <c r="F591" s="2"/>
    </row>
    <row r="592">
      <c r="C592" s="1"/>
      <c r="E592" s="2"/>
      <c r="F592" s="2"/>
    </row>
    <row r="593">
      <c r="C593" s="1"/>
      <c r="E593" s="2"/>
      <c r="F593" s="2"/>
    </row>
    <row r="594">
      <c r="C594" s="1"/>
      <c r="E594" s="2"/>
      <c r="F594" s="2"/>
    </row>
    <row r="595">
      <c r="C595" s="1"/>
      <c r="E595" s="2"/>
      <c r="F595" s="2"/>
    </row>
    <row r="596">
      <c r="C596" s="1"/>
      <c r="E596" s="2"/>
      <c r="F596" s="2"/>
    </row>
    <row r="597">
      <c r="C597" s="1"/>
      <c r="E597" s="2"/>
      <c r="F597" s="2"/>
    </row>
    <row r="598">
      <c r="C598" s="1"/>
      <c r="E598" s="2"/>
      <c r="F598" s="2"/>
    </row>
    <row r="599">
      <c r="C599" s="1"/>
      <c r="E599" s="2"/>
      <c r="F599" s="2"/>
    </row>
    <row r="600">
      <c r="C600" s="1"/>
      <c r="E600" s="2"/>
      <c r="F600" s="2"/>
    </row>
    <row r="601">
      <c r="C601" s="1"/>
      <c r="E601" s="2"/>
      <c r="F601" s="2"/>
    </row>
    <row r="602">
      <c r="C602" s="1"/>
      <c r="E602" s="2"/>
      <c r="F602" s="2"/>
    </row>
    <row r="603">
      <c r="C603" s="1"/>
      <c r="E603" s="2"/>
      <c r="F603" s="2"/>
    </row>
    <row r="604">
      <c r="C604" s="1"/>
      <c r="E604" s="2"/>
      <c r="F604" s="2"/>
    </row>
    <row r="605">
      <c r="C605" s="1"/>
      <c r="E605" s="2"/>
      <c r="F605" s="2"/>
    </row>
    <row r="606">
      <c r="C606" s="1"/>
      <c r="E606" s="2"/>
      <c r="F606" s="2"/>
    </row>
    <row r="607">
      <c r="C607" s="1"/>
      <c r="E607" s="2"/>
      <c r="F607" s="2"/>
    </row>
    <row r="608">
      <c r="C608" s="1"/>
      <c r="E608" s="2"/>
      <c r="F608" s="2"/>
    </row>
    <row r="609">
      <c r="C609" s="1"/>
      <c r="E609" s="2"/>
      <c r="F609" s="2"/>
    </row>
    <row r="610">
      <c r="C610" s="1"/>
      <c r="E610" s="2"/>
      <c r="F610" s="2"/>
    </row>
    <row r="611">
      <c r="C611" s="1"/>
      <c r="E611" s="2"/>
      <c r="F611" s="2"/>
    </row>
    <row r="612">
      <c r="C612" s="1"/>
      <c r="E612" s="2"/>
      <c r="F612" s="2"/>
    </row>
    <row r="613">
      <c r="C613" s="1"/>
      <c r="E613" s="2"/>
      <c r="F613" s="2"/>
    </row>
    <row r="614">
      <c r="C614" s="1"/>
      <c r="E614" s="2"/>
      <c r="F614" s="2"/>
    </row>
    <row r="615">
      <c r="C615" s="1"/>
      <c r="E615" s="2"/>
      <c r="F615" s="2"/>
    </row>
    <row r="616">
      <c r="C616" s="1"/>
      <c r="E616" s="2"/>
      <c r="F616" s="2"/>
    </row>
    <row r="617">
      <c r="C617" s="1"/>
      <c r="E617" s="2"/>
      <c r="F617" s="2"/>
    </row>
    <row r="618">
      <c r="C618" s="1"/>
      <c r="E618" s="2"/>
      <c r="F618" s="2"/>
    </row>
    <row r="619">
      <c r="C619" s="1"/>
      <c r="E619" s="2"/>
      <c r="F619" s="2"/>
    </row>
    <row r="620">
      <c r="C620" s="1"/>
      <c r="E620" s="2"/>
      <c r="F620" s="2"/>
    </row>
    <row r="621">
      <c r="C621" s="1"/>
      <c r="E621" s="2"/>
      <c r="F621" s="2"/>
    </row>
    <row r="622">
      <c r="C622" s="1"/>
      <c r="E622" s="2"/>
      <c r="F622" s="2"/>
    </row>
    <row r="623">
      <c r="C623" s="1"/>
      <c r="E623" s="2"/>
      <c r="F623" s="2"/>
    </row>
    <row r="624">
      <c r="C624" s="1"/>
      <c r="E624" s="2"/>
      <c r="F624" s="2"/>
    </row>
    <row r="625">
      <c r="C625" s="1"/>
      <c r="E625" s="2"/>
      <c r="F625" s="2"/>
    </row>
    <row r="626">
      <c r="C626" s="1"/>
      <c r="E626" s="2"/>
      <c r="F626" s="2"/>
    </row>
    <row r="627">
      <c r="C627" s="1"/>
      <c r="E627" s="2"/>
      <c r="F627" s="2"/>
    </row>
    <row r="628">
      <c r="C628" s="1"/>
      <c r="E628" s="2"/>
      <c r="F628" s="2"/>
    </row>
    <row r="629">
      <c r="C629" s="1"/>
      <c r="E629" s="2"/>
      <c r="F629" s="2"/>
    </row>
    <row r="630">
      <c r="C630" s="1"/>
      <c r="E630" s="2"/>
      <c r="F630" s="2"/>
    </row>
    <row r="631">
      <c r="C631" s="1"/>
      <c r="E631" s="2"/>
      <c r="F631" s="2"/>
    </row>
    <row r="632">
      <c r="C632" s="1"/>
      <c r="E632" s="2"/>
      <c r="F632" s="2"/>
    </row>
    <row r="633">
      <c r="C633" s="1"/>
      <c r="E633" s="2"/>
      <c r="F633" s="2"/>
    </row>
    <row r="634">
      <c r="C634" s="1"/>
      <c r="E634" s="2"/>
      <c r="F634" s="2"/>
    </row>
    <row r="635">
      <c r="C635" s="1"/>
      <c r="E635" s="2"/>
      <c r="F635" s="2"/>
    </row>
    <row r="636">
      <c r="C636" s="1"/>
      <c r="E636" s="2"/>
      <c r="F636" s="2"/>
    </row>
    <row r="637">
      <c r="C637" s="1"/>
      <c r="E637" s="2"/>
      <c r="F637" s="2"/>
    </row>
    <row r="638">
      <c r="C638" s="1"/>
      <c r="E638" s="2"/>
      <c r="F638" s="2"/>
    </row>
    <row r="639">
      <c r="C639" s="1"/>
      <c r="E639" s="2"/>
      <c r="F639" s="2"/>
    </row>
    <row r="640">
      <c r="C640" s="1"/>
      <c r="E640" s="2"/>
      <c r="F640" s="2"/>
    </row>
    <row r="641">
      <c r="C641" s="1"/>
      <c r="E641" s="2"/>
      <c r="F641" s="2"/>
    </row>
    <row r="642">
      <c r="C642" s="1"/>
      <c r="E642" s="2"/>
      <c r="F642" s="2"/>
    </row>
    <row r="643">
      <c r="C643" s="1"/>
      <c r="E643" s="2"/>
      <c r="F643" s="2"/>
    </row>
    <row r="644">
      <c r="C644" s="1"/>
      <c r="E644" s="2"/>
      <c r="F644" s="2"/>
    </row>
    <row r="645">
      <c r="C645" s="1"/>
      <c r="E645" s="2"/>
      <c r="F645" s="2"/>
    </row>
    <row r="646">
      <c r="C646" s="1"/>
      <c r="E646" s="2"/>
      <c r="F646" s="2"/>
    </row>
    <row r="647">
      <c r="C647" s="1"/>
      <c r="E647" s="2"/>
      <c r="F647" s="2"/>
    </row>
    <row r="648">
      <c r="C648" s="1"/>
      <c r="E648" s="2"/>
      <c r="F648" s="2"/>
    </row>
    <row r="649">
      <c r="C649" s="1"/>
      <c r="E649" s="2"/>
      <c r="F649" s="2"/>
    </row>
    <row r="650">
      <c r="C650" s="1"/>
      <c r="E650" s="2"/>
      <c r="F650" s="2"/>
    </row>
    <row r="651">
      <c r="C651" s="1"/>
      <c r="E651" s="2"/>
      <c r="F651" s="2"/>
    </row>
    <row r="652">
      <c r="C652" s="1"/>
      <c r="E652" s="2"/>
      <c r="F652" s="2"/>
    </row>
    <row r="653">
      <c r="C653" s="1"/>
      <c r="E653" s="2"/>
      <c r="F653" s="2"/>
    </row>
    <row r="654">
      <c r="C654" s="1"/>
      <c r="E654" s="2"/>
      <c r="F654" s="2"/>
    </row>
    <row r="655">
      <c r="C655" s="1"/>
      <c r="E655" s="2"/>
      <c r="F655" s="2"/>
    </row>
    <row r="656">
      <c r="C656" s="1"/>
      <c r="E656" s="2"/>
      <c r="F656" s="2"/>
    </row>
    <row r="657">
      <c r="C657" s="1"/>
      <c r="E657" s="2"/>
      <c r="F657" s="2"/>
    </row>
    <row r="658">
      <c r="C658" s="1"/>
      <c r="E658" s="2"/>
      <c r="F658" s="2"/>
    </row>
    <row r="659">
      <c r="C659" s="1"/>
      <c r="E659" s="2"/>
      <c r="F659" s="2"/>
    </row>
    <row r="660">
      <c r="C660" s="1"/>
      <c r="E660" s="2"/>
      <c r="F660" s="2"/>
    </row>
    <row r="661">
      <c r="C661" s="1"/>
      <c r="E661" s="2"/>
      <c r="F661" s="2"/>
    </row>
    <row r="662">
      <c r="C662" s="1"/>
      <c r="E662" s="2"/>
      <c r="F662" s="2"/>
    </row>
    <row r="663">
      <c r="C663" s="1"/>
      <c r="E663" s="2"/>
      <c r="F663" s="2"/>
    </row>
    <row r="664">
      <c r="C664" s="1"/>
      <c r="E664" s="2"/>
      <c r="F664" s="2"/>
    </row>
    <row r="665">
      <c r="C665" s="1"/>
      <c r="E665" s="2"/>
      <c r="F665" s="2"/>
    </row>
    <row r="666">
      <c r="C666" s="1"/>
      <c r="E666" s="2"/>
      <c r="F666" s="2"/>
    </row>
    <row r="667">
      <c r="C667" s="1"/>
      <c r="E667" s="2"/>
      <c r="F667" s="2"/>
    </row>
    <row r="668">
      <c r="C668" s="1"/>
      <c r="E668" s="2"/>
      <c r="F668" s="2"/>
    </row>
    <row r="669">
      <c r="C669" s="1"/>
      <c r="E669" s="2"/>
      <c r="F669" s="2"/>
    </row>
    <row r="670">
      <c r="C670" s="1"/>
      <c r="E670" s="2"/>
      <c r="F670" s="2"/>
    </row>
    <row r="671">
      <c r="C671" s="1"/>
      <c r="E671" s="2"/>
      <c r="F671" s="2"/>
    </row>
    <row r="672">
      <c r="C672" s="1"/>
      <c r="E672" s="2"/>
      <c r="F672" s="2"/>
    </row>
    <row r="673">
      <c r="C673" s="1"/>
      <c r="E673" s="2"/>
      <c r="F673" s="2"/>
    </row>
    <row r="674">
      <c r="C674" s="1"/>
      <c r="E674" s="2"/>
      <c r="F674" s="2"/>
    </row>
    <row r="675">
      <c r="C675" s="1"/>
      <c r="E675" s="2"/>
      <c r="F675" s="2"/>
    </row>
    <row r="676">
      <c r="C676" s="1"/>
      <c r="E676" s="2"/>
      <c r="F676" s="2"/>
    </row>
    <row r="677">
      <c r="C677" s="1"/>
      <c r="E677" s="2"/>
      <c r="F677" s="2"/>
    </row>
    <row r="678">
      <c r="C678" s="1"/>
      <c r="E678" s="2"/>
      <c r="F678" s="2"/>
    </row>
    <row r="679">
      <c r="C679" s="1"/>
      <c r="E679" s="2"/>
      <c r="F679" s="2"/>
    </row>
    <row r="680">
      <c r="C680" s="1"/>
      <c r="E680" s="2"/>
      <c r="F680" s="2"/>
    </row>
    <row r="681">
      <c r="C681" s="1"/>
      <c r="E681" s="2"/>
      <c r="F681" s="2"/>
    </row>
    <row r="682">
      <c r="C682" s="1"/>
      <c r="E682" s="2"/>
      <c r="F682" s="2"/>
    </row>
    <row r="683">
      <c r="C683" s="1"/>
      <c r="E683" s="2"/>
      <c r="F683" s="2"/>
    </row>
    <row r="684">
      <c r="C684" s="1"/>
      <c r="E684" s="2"/>
      <c r="F684" s="2"/>
    </row>
    <row r="685">
      <c r="C685" s="1"/>
      <c r="E685" s="2"/>
      <c r="F685" s="2"/>
    </row>
    <row r="686">
      <c r="C686" s="1"/>
      <c r="E686" s="2"/>
      <c r="F686" s="2"/>
    </row>
    <row r="687">
      <c r="C687" s="1"/>
      <c r="E687" s="2"/>
      <c r="F687" s="2"/>
    </row>
    <row r="688">
      <c r="C688" s="1"/>
      <c r="E688" s="2"/>
      <c r="F688" s="2"/>
    </row>
    <row r="689">
      <c r="C689" s="1"/>
      <c r="E689" s="2"/>
      <c r="F689" s="2"/>
    </row>
    <row r="690">
      <c r="C690" s="1"/>
      <c r="E690" s="2"/>
      <c r="F690" s="2"/>
    </row>
    <row r="691">
      <c r="C691" s="1"/>
      <c r="E691" s="2"/>
      <c r="F691" s="2"/>
    </row>
    <row r="692">
      <c r="C692" s="1"/>
      <c r="E692" s="2"/>
      <c r="F692" s="2"/>
    </row>
    <row r="693">
      <c r="C693" s="1"/>
      <c r="E693" s="2"/>
      <c r="F693" s="2"/>
    </row>
    <row r="694">
      <c r="C694" s="1"/>
      <c r="E694" s="2"/>
      <c r="F694" s="2"/>
    </row>
    <row r="695">
      <c r="C695" s="1"/>
      <c r="E695" s="2"/>
      <c r="F695" s="2"/>
    </row>
    <row r="696">
      <c r="C696" s="1"/>
      <c r="E696" s="2"/>
      <c r="F696" s="2"/>
    </row>
    <row r="697">
      <c r="C697" s="1"/>
      <c r="E697" s="2"/>
      <c r="F697" s="2"/>
    </row>
    <row r="698">
      <c r="C698" s="1"/>
      <c r="E698" s="2"/>
      <c r="F698" s="2"/>
    </row>
    <row r="699">
      <c r="C699" s="1"/>
      <c r="E699" s="2"/>
      <c r="F699" s="2"/>
    </row>
    <row r="700">
      <c r="C700" s="1"/>
      <c r="E700" s="2"/>
      <c r="F700" s="2"/>
    </row>
    <row r="701">
      <c r="C701" s="1"/>
      <c r="E701" s="2"/>
      <c r="F701" s="2"/>
    </row>
    <row r="702">
      <c r="C702" s="1"/>
      <c r="E702" s="2"/>
      <c r="F702" s="2"/>
    </row>
    <row r="703">
      <c r="C703" s="1"/>
      <c r="E703" s="2"/>
      <c r="F703" s="2"/>
    </row>
    <row r="704">
      <c r="C704" s="1"/>
      <c r="E704" s="2"/>
      <c r="F704" s="2"/>
    </row>
    <row r="705">
      <c r="C705" s="1"/>
      <c r="E705" s="2"/>
      <c r="F705" s="2"/>
    </row>
    <row r="706">
      <c r="C706" s="1"/>
      <c r="E706" s="2"/>
      <c r="F706" s="2"/>
    </row>
    <row r="707">
      <c r="C707" s="1"/>
      <c r="E707" s="2"/>
      <c r="F707" s="2"/>
    </row>
    <row r="708">
      <c r="C708" s="1"/>
      <c r="E708" s="2"/>
      <c r="F708" s="2"/>
    </row>
    <row r="709">
      <c r="C709" s="1"/>
      <c r="E709" s="2"/>
      <c r="F709" s="2"/>
    </row>
    <row r="710">
      <c r="C710" s="1"/>
      <c r="E710" s="2"/>
      <c r="F710" s="2"/>
    </row>
    <row r="711">
      <c r="C711" s="1"/>
      <c r="E711" s="2"/>
      <c r="F711" s="2"/>
    </row>
    <row r="712">
      <c r="C712" s="1"/>
      <c r="E712" s="2"/>
      <c r="F712" s="2"/>
    </row>
    <row r="713">
      <c r="C713" s="1"/>
      <c r="E713" s="2"/>
      <c r="F713" s="2"/>
    </row>
    <row r="714">
      <c r="C714" s="1"/>
      <c r="E714" s="2"/>
      <c r="F714" s="2"/>
    </row>
    <row r="715">
      <c r="C715" s="1"/>
      <c r="E715" s="2"/>
      <c r="F715" s="2"/>
    </row>
    <row r="716">
      <c r="C716" s="1"/>
      <c r="E716" s="2"/>
      <c r="F716" s="2"/>
    </row>
    <row r="717">
      <c r="C717" s="1"/>
      <c r="E717" s="2"/>
      <c r="F717" s="2"/>
    </row>
    <row r="718">
      <c r="C718" s="1"/>
      <c r="E718" s="2"/>
      <c r="F718" s="2"/>
    </row>
    <row r="719">
      <c r="C719" s="1"/>
      <c r="E719" s="2"/>
      <c r="F719" s="2"/>
    </row>
    <row r="720">
      <c r="C720" s="1"/>
      <c r="E720" s="2"/>
      <c r="F720" s="2"/>
    </row>
    <row r="721">
      <c r="C721" s="1"/>
      <c r="E721" s="2"/>
      <c r="F721" s="2"/>
    </row>
    <row r="722">
      <c r="C722" s="1"/>
      <c r="E722" s="2"/>
      <c r="F722" s="2"/>
    </row>
    <row r="723">
      <c r="C723" s="1"/>
      <c r="E723" s="2"/>
      <c r="F723" s="2"/>
    </row>
    <row r="724">
      <c r="C724" s="1"/>
      <c r="E724" s="2"/>
      <c r="F724" s="2"/>
    </row>
    <row r="725">
      <c r="C725" s="1"/>
      <c r="E725" s="2"/>
      <c r="F725" s="2"/>
    </row>
    <row r="726">
      <c r="C726" s="1"/>
      <c r="E726" s="2"/>
      <c r="F726" s="2"/>
    </row>
    <row r="727">
      <c r="C727" s="1"/>
      <c r="E727" s="2"/>
      <c r="F727" s="2"/>
    </row>
    <row r="728">
      <c r="C728" s="1"/>
      <c r="E728" s="2"/>
      <c r="F728" s="2"/>
    </row>
    <row r="729">
      <c r="C729" s="1"/>
      <c r="E729" s="2"/>
      <c r="F729" s="2"/>
    </row>
    <row r="730">
      <c r="C730" s="1"/>
      <c r="E730" s="2"/>
      <c r="F730" s="2"/>
    </row>
    <row r="731">
      <c r="C731" s="1"/>
      <c r="E731" s="2"/>
      <c r="F731" s="2"/>
    </row>
    <row r="732">
      <c r="C732" s="1"/>
      <c r="E732" s="2"/>
      <c r="F732" s="2"/>
    </row>
    <row r="733">
      <c r="C733" s="1"/>
      <c r="E733" s="2"/>
      <c r="F733" s="2"/>
    </row>
    <row r="734">
      <c r="C734" s="1"/>
      <c r="E734" s="2"/>
      <c r="F734" s="2"/>
    </row>
    <row r="735">
      <c r="C735" s="1"/>
      <c r="E735" s="2"/>
      <c r="F735" s="2"/>
    </row>
    <row r="736">
      <c r="C736" s="1"/>
      <c r="E736" s="2"/>
      <c r="F736" s="2"/>
    </row>
    <row r="737">
      <c r="C737" s="1"/>
      <c r="E737" s="2"/>
      <c r="F737" s="2"/>
    </row>
    <row r="738">
      <c r="C738" s="1"/>
      <c r="E738" s="2"/>
      <c r="F738" s="2"/>
    </row>
    <row r="739">
      <c r="C739" s="1"/>
      <c r="E739" s="2"/>
      <c r="F739" s="2"/>
    </row>
    <row r="740">
      <c r="C740" s="1"/>
      <c r="E740" s="2"/>
      <c r="F740" s="2"/>
    </row>
    <row r="741">
      <c r="C741" s="1"/>
      <c r="E741" s="2"/>
      <c r="F741" s="2"/>
    </row>
    <row r="742">
      <c r="C742" s="1"/>
      <c r="E742" s="2"/>
      <c r="F742" s="2"/>
    </row>
    <row r="743">
      <c r="C743" s="1"/>
      <c r="E743" s="2"/>
      <c r="F743" s="2"/>
    </row>
    <row r="744">
      <c r="C744" s="1"/>
      <c r="E744" s="2"/>
      <c r="F744" s="2"/>
    </row>
    <row r="745">
      <c r="C745" s="1"/>
      <c r="E745" s="2"/>
      <c r="F745" s="2"/>
    </row>
    <row r="746">
      <c r="C746" s="1"/>
      <c r="E746" s="2"/>
      <c r="F746" s="2"/>
    </row>
    <row r="747">
      <c r="C747" s="1"/>
      <c r="E747" s="2"/>
      <c r="F747" s="2"/>
    </row>
    <row r="748">
      <c r="C748" s="1"/>
      <c r="E748" s="2"/>
      <c r="F748" s="2"/>
    </row>
    <row r="749">
      <c r="C749" s="1"/>
      <c r="E749" s="2"/>
      <c r="F749" s="2"/>
    </row>
    <row r="750">
      <c r="C750" s="1"/>
      <c r="E750" s="2"/>
      <c r="F750" s="2"/>
    </row>
    <row r="751">
      <c r="C751" s="1"/>
      <c r="E751" s="2"/>
      <c r="F751" s="2"/>
    </row>
    <row r="752">
      <c r="C752" s="1"/>
      <c r="E752" s="2"/>
      <c r="F752" s="2"/>
    </row>
    <row r="753">
      <c r="C753" s="1"/>
      <c r="E753" s="2"/>
      <c r="F753" s="2"/>
    </row>
    <row r="754">
      <c r="C754" s="1"/>
      <c r="E754" s="2"/>
      <c r="F754" s="2"/>
    </row>
    <row r="755">
      <c r="C755" s="1"/>
      <c r="E755" s="2"/>
      <c r="F755" s="2"/>
    </row>
    <row r="756">
      <c r="C756" s="1"/>
      <c r="E756" s="2"/>
      <c r="F756" s="2"/>
    </row>
    <row r="757">
      <c r="C757" s="1"/>
      <c r="E757" s="2"/>
      <c r="F757" s="2"/>
    </row>
    <row r="758">
      <c r="C758" s="1"/>
      <c r="E758" s="2"/>
      <c r="F758" s="2"/>
    </row>
    <row r="759">
      <c r="C759" s="1"/>
      <c r="E759" s="2"/>
      <c r="F759" s="2"/>
    </row>
    <row r="760">
      <c r="C760" s="1"/>
      <c r="E760" s="2"/>
      <c r="F760" s="2"/>
    </row>
    <row r="761">
      <c r="C761" s="1"/>
      <c r="E761" s="2"/>
      <c r="F761" s="2"/>
    </row>
    <row r="762">
      <c r="C762" s="1"/>
      <c r="E762" s="2"/>
      <c r="F762" s="2"/>
    </row>
    <row r="763">
      <c r="C763" s="1"/>
      <c r="E763" s="2"/>
      <c r="F763" s="2"/>
    </row>
    <row r="764">
      <c r="C764" s="1"/>
      <c r="E764" s="2"/>
      <c r="F764" s="2"/>
    </row>
    <row r="765">
      <c r="C765" s="1"/>
      <c r="E765" s="2"/>
      <c r="F765" s="2"/>
    </row>
    <row r="766">
      <c r="C766" s="1"/>
      <c r="E766" s="2"/>
      <c r="F766" s="2"/>
    </row>
    <row r="767">
      <c r="C767" s="1"/>
      <c r="E767" s="2"/>
      <c r="F767" s="2"/>
    </row>
    <row r="768">
      <c r="C768" s="1"/>
      <c r="E768" s="2"/>
      <c r="F768" s="2"/>
    </row>
    <row r="769">
      <c r="C769" s="1"/>
      <c r="E769" s="2"/>
      <c r="F769" s="2"/>
    </row>
    <row r="770">
      <c r="C770" s="1"/>
      <c r="E770" s="2"/>
      <c r="F770" s="2"/>
    </row>
    <row r="771">
      <c r="C771" s="1"/>
      <c r="E771" s="2"/>
      <c r="F771" s="2"/>
    </row>
    <row r="772">
      <c r="C772" s="1"/>
      <c r="E772" s="2"/>
      <c r="F772" s="2"/>
    </row>
    <row r="773">
      <c r="C773" s="1"/>
      <c r="E773" s="2"/>
      <c r="F773" s="2"/>
    </row>
    <row r="774">
      <c r="C774" s="1"/>
      <c r="E774" s="2"/>
      <c r="F774" s="2"/>
    </row>
    <row r="775">
      <c r="C775" s="1"/>
      <c r="E775" s="2"/>
      <c r="F775" s="2"/>
    </row>
    <row r="776">
      <c r="C776" s="1"/>
      <c r="E776" s="2"/>
      <c r="F776" s="2"/>
    </row>
    <row r="777">
      <c r="C777" s="1"/>
      <c r="E777" s="2"/>
      <c r="F777" s="2"/>
    </row>
    <row r="778">
      <c r="C778" s="1"/>
      <c r="E778" s="2"/>
      <c r="F778" s="2"/>
    </row>
    <row r="779">
      <c r="C779" s="1"/>
      <c r="E779" s="2"/>
      <c r="F779" s="2"/>
    </row>
    <row r="780">
      <c r="C780" s="1"/>
      <c r="E780" s="2"/>
      <c r="F780" s="2"/>
    </row>
    <row r="781">
      <c r="C781" s="1"/>
      <c r="E781" s="2"/>
      <c r="F781" s="2"/>
    </row>
    <row r="782">
      <c r="C782" s="1"/>
      <c r="E782" s="2"/>
      <c r="F782" s="2"/>
    </row>
    <row r="783">
      <c r="C783" s="1"/>
      <c r="E783" s="2"/>
      <c r="F783" s="2"/>
    </row>
    <row r="784">
      <c r="C784" s="1"/>
      <c r="E784" s="2"/>
      <c r="F784" s="2"/>
    </row>
    <row r="785">
      <c r="C785" s="1"/>
      <c r="E785" s="2"/>
      <c r="F785" s="2"/>
    </row>
    <row r="786">
      <c r="C786" s="1"/>
      <c r="E786" s="2"/>
      <c r="F786" s="2"/>
    </row>
    <row r="787">
      <c r="C787" s="1"/>
      <c r="E787" s="2"/>
      <c r="F787" s="2"/>
    </row>
    <row r="788">
      <c r="C788" s="1"/>
      <c r="E788" s="2"/>
      <c r="F788" s="2"/>
    </row>
    <row r="789">
      <c r="C789" s="1"/>
      <c r="E789" s="2"/>
      <c r="F789" s="2"/>
    </row>
    <row r="790">
      <c r="C790" s="1"/>
      <c r="E790" s="2"/>
      <c r="F790" s="2"/>
    </row>
    <row r="791">
      <c r="C791" s="1"/>
      <c r="E791" s="2"/>
      <c r="F791" s="2"/>
    </row>
    <row r="792">
      <c r="C792" s="1"/>
      <c r="E792" s="2"/>
      <c r="F792" s="2"/>
    </row>
    <row r="793">
      <c r="C793" s="1"/>
      <c r="E793" s="2"/>
      <c r="F793" s="2"/>
    </row>
    <row r="794">
      <c r="C794" s="1"/>
      <c r="E794" s="2"/>
      <c r="F794" s="2"/>
    </row>
    <row r="795">
      <c r="C795" s="1"/>
      <c r="E795" s="2"/>
      <c r="F795" s="2"/>
    </row>
    <row r="796">
      <c r="C796" s="1"/>
      <c r="E796" s="2"/>
      <c r="F796" s="2"/>
    </row>
    <row r="797">
      <c r="C797" s="1"/>
      <c r="E797" s="2"/>
      <c r="F797" s="2"/>
    </row>
    <row r="798">
      <c r="C798" s="1"/>
      <c r="E798" s="2"/>
      <c r="F798" s="2"/>
    </row>
    <row r="799">
      <c r="C799" s="1"/>
      <c r="E799" s="2"/>
      <c r="F799" s="2"/>
    </row>
    <row r="800">
      <c r="C800" s="1"/>
      <c r="E800" s="2"/>
      <c r="F800" s="2"/>
    </row>
    <row r="801">
      <c r="C801" s="1"/>
      <c r="E801" s="2"/>
      <c r="F801" s="2"/>
    </row>
    <row r="802">
      <c r="C802" s="1"/>
      <c r="E802" s="2"/>
      <c r="F802" s="2"/>
    </row>
    <row r="803">
      <c r="C803" s="1"/>
      <c r="E803" s="2"/>
      <c r="F803" s="2"/>
    </row>
    <row r="804">
      <c r="C804" s="1"/>
      <c r="E804" s="2"/>
      <c r="F804" s="2"/>
    </row>
    <row r="805">
      <c r="C805" s="1"/>
      <c r="E805" s="2"/>
      <c r="F805" s="2"/>
    </row>
    <row r="806">
      <c r="C806" s="1"/>
      <c r="E806" s="2"/>
      <c r="F806" s="2"/>
    </row>
    <row r="807">
      <c r="C807" s="1"/>
      <c r="E807" s="2"/>
      <c r="F807" s="2"/>
    </row>
    <row r="808">
      <c r="C808" s="1"/>
      <c r="E808" s="2"/>
      <c r="F808" s="2"/>
    </row>
    <row r="809">
      <c r="C809" s="1"/>
      <c r="E809" s="2"/>
      <c r="F809" s="2"/>
    </row>
    <row r="810">
      <c r="C810" s="1"/>
      <c r="E810" s="2"/>
      <c r="F810" s="2"/>
    </row>
    <row r="811">
      <c r="C811" s="1"/>
      <c r="E811" s="2"/>
      <c r="F811" s="2"/>
    </row>
    <row r="812">
      <c r="C812" s="1"/>
      <c r="E812" s="2"/>
      <c r="F812" s="2"/>
    </row>
    <row r="813">
      <c r="C813" s="1"/>
      <c r="E813" s="2"/>
      <c r="F813" s="2"/>
    </row>
    <row r="814">
      <c r="C814" s="1"/>
      <c r="E814" s="2"/>
      <c r="F814" s="2"/>
    </row>
    <row r="815">
      <c r="C815" s="1"/>
      <c r="E815" s="2"/>
      <c r="F815" s="2"/>
    </row>
    <row r="816">
      <c r="C816" s="1"/>
      <c r="E816" s="2"/>
      <c r="F816" s="2"/>
    </row>
    <row r="817">
      <c r="C817" s="1"/>
      <c r="E817" s="2"/>
      <c r="F817" s="2"/>
    </row>
    <row r="818">
      <c r="C818" s="1"/>
      <c r="E818" s="2"/>
      <c r="F818" s="2"/>
    </row>
    <row r="819">
      <c r="C819" s="1"/>
      <c r="E819" s="2"/>
      <c r="F819" s="2"/>
    </row>
    <row r="820">
      <c r="C820" s="1"/>
      <c r="E820" s="2"/>
      <c r="F820" s="2"/>
    </row>
    <row r="821">
      <c r="C821" s="1"/>
      <c r="E821" s="2"/>
      <c r="F821" s="2"/>
    </row>
    <row r="822">
      <c r="C822" s="1"/>
      <c r="E822" s="2"/>
      <c r="F822" s="2"/>
    </row>
    <row r="823">
      <c r="C823" s="1"/>
      <c r="E823" s="2"/>
      <c r="F823" s="2"/>
    </row>
    <row r="824">
      <c r="C824" s="1"/>
      <c r="E824" s="2"/>
      <c r="F824" s="2"/>
    </row>
    <row r="825">
      <c r="C825" s="1"/>
      <c r="E825" s="2"/>
      <c r="F825" s="2"/>
    </row>
    <row r="826">
      <c r="C826" s="1"/>
      <c r="E826" s="2"/>
      <c r="F826" s="2"/>
    </row>
    <row r="827">
      <c r="C827" s="1"/>
      <c r="E827" s="2"/>
      <c r="F827" s="2"/>
    </row>
    <row r="828">
      <c r="C828" s="1"/>
      <c r="E828" s="2"/>
      <c r="F828" s="2"/>
    </row>
    <row r="829">
      <c r="C829" s="1"/>
      <c r="E829" s="2"/>
      <c r="F829" s="2"/>
    </row>
    <row r="830">
      <c r="C830" s="1"/>
      <c r="E830" s="2"/>
      <c r="F830" s="2"/>
    </row>
    <row r="831">
      <c r="C831" s="1"/>
      <c r="E831" s="2"/>
      <c r="F831" s="2"/>
    </row>
    <row r="832">
      <c r="C832" s="1"/>
      <c r="E832" s="2"/>
      <c r="F832" s="2"/>
    </row>
    <row r="833">
      <c r="C833" s="1"/>
      <c r="E833" s="2"/>
      <c r="F833" s="2"/>
    </row>
    <row r="834">
      <c r="C834" s="1"/>
      <c r="E834" s="2"/>
      <c r="F834" s="2"/>
    </row>
    <row r="835">
      <c r="C835" s="1"/>
      <c r="E835" s="2"/>
      <c r="F835" s="2"/>
    </row>
    <row r="836">
      <c r="C836" s="1"/>
      <c r="E836" s="2"/>
      <c r="F836" s="2"/>
    </row>
    <row r="837">
      <c r="C837" s="1"/>
      <c r="E837" s="2"/>
      <c r="F837" s="2"/>
    </row>
    <row r="838">
      <c r="C838" s="1"/>
      <c r="E838" s="2"/>
      <c r="F838" s="2"/>
    </row>
    <row r="839">
      <c r="C839" s="1"/>
      <c r="E839" s="2"/>
      <c r="F839" s="2"/>
    </row>
    <row r="840">
      <c r="C840" s="1"/>
      <c r="E840" s="2"/>
      <c r="F840" s="2"/>
    </row>
    <row r="841">
      <c r="C841" s="1"/>
      <c r="E841" s="2"/>
      <c r="F841" s="2"/>
    </row>
    <row r="842">
      <c r="C842" s="1"/>
      <c r="E842" s="2"/>
      <c r="F842" s="2"/>
    </row>
    <row r="843">
      <c r="C843" s="1"/>
      <c r="E843" s="2"/>
      <c r="F843" s="2"/>
    </row>
    <row r="844">
      <c r="C844" s="1"/>
      <c r="E844" s="2"/>
      <c r="F844" s="2"/>
    </row>
    <row r="845">
      <c r="C845" s="1"/>
      <c r="E845" s="2"/>
      <c r="F845" s="2"/>
    </row>
    <row r="846">
      <c r="C846" s="1"/>
      <c r="E846" s="2"/>
      <c r="F846" s="2"/>
    </row>
    <row r="847">
      <c r="C847" s="1"/>
      <c r="E847" s="2"/>
      <c r="F847" s="2"/>
    </row>
    <row r="848">
      <c r="C848" s="1"/>
      <c r="E848" s="2"/>
      <c r="F848" s="2"/>
    </row>
    <row r="849">
      <c r="C849" s="1"/>
      <c r="E849" s="2"/>
      <c r="F849" s="2"/>
    </row>
    <row r="850">
      <c r="C850" s="1"/>
      <c r="E850" s="2"/>
      <c r="F850" s="2"/>
    </row>
    <row r="851">
      <c r="C851" s="1"/>
      <c r="E851" s="2"/>
      <c r="F851" s="2"/>
    </row>
    <row r="852">
      <c r="C852" s="1"/>
      <c r="E852" s="2"/>
      <c r="F852" s="2"/>
    </row>
    <row r="853">
      <c r="C853" s="1"/>
      <c r="E853" s="2"/>
      <c r="F853" s="2"/>
    </row>
    <row r="854">
      <c r="C854" s="1"/>
      <c r="E854" s="2"/>
      <c r="F854" s="2"/>
    </row>
    <row r="855">
      <c r="C855" s="1"/>
      <c r="E855" s="2"/>
      <c r="F855" s="2"/>
    </row>
    <row r="856">
      <c r="C856" s="1"/>
      <c r="E856" s="2"/>
      <c r="F856" s="2"/>
    </row>
    <row r="857">
      <c r="C857" s="1"/>
      <c r="E857" s="2"/>
      <c r="F857" s="2"/>
    </row>
    <row r="858">
      <c r="C858" s="1"/>
      <c r="E858" s="2"/>
      <c r="F858" s="2"/>
    </row>
    <row r="859">
      <c r="C859" s="1"/>
      <c r="E859" s="2"/>
      <c r="F859" s="2"/>
    </row>
    <row r="860">
      <c r="C860" s="1"/>
      <c r="E860" s="2"/>
      <c r="F860" s="2"/>
    </row>
    <row r="861">
      <c r="C861" s="1"/>
      <c r="E861" s="2"/>
      <c r="F861" s="2"/>
    </row>
    <row r="862">
      <c r="C862" s="1"/>
      <c r="E862" s="2"/>
      <c r="F862" s="2"/>
    </row>
    <row r="863">
      <c r="C863" s="1"/>
      <c r="E863" s="2"/>
      <c r="F863" s="2"/>
    </row>
    <row r="864">
      <c r="C864" s="1"/>
      <c r="E864" s="2"/>
      <c r="F864" s="2"/>
    </row>
    <row r="865">
      <c r="C865" s="1"/>
      <c r="E865" s="2"/>
      <c r="F865" s="2"/>
    </row>
    <row r="866">
      <c r="C866" s="1"/>
      <c r="E866" s="2"/>
      <c r="F866" s="2"/>
    </row>
    <row r="867">
      <c r="C867" s="1"/>
      <c r="E867" s="2"/>
      <c r="F867" s="2"/>
    </row>
    <row r="868">
      <c r="C868" s="1"/>
      <c r="E868" s="2"/>
      <c r="F868" s="2"/>
    </row>
    <row r="869">
      <c r="C869" s="1"/>
      <c r="E869" s="2"/>
      <c r="F869" s="2"/>
    </row>
    <row r="870">
      <c r="C870" s="1"/>
      <c r="E870" s="2"/>
      <c r="F870" s="2"/>
    </row>
    <row r="871">
      <c r="C871" s="1"/>
      <c r="E871" s="2"/>
      <c r="F871" s="2"/>
    </row>
    <row r="872">
      <c r="C872" s="1"/>
      <c r="E872" s="2"/>
      <c r="F872" s="2"/>
    </row>
    <row r="873">
      <c r="C873" s="1"/>
      <c r="E873" s="2"/>
      <c r="F873" s="2"/>
    </row>
    <row r="874">
      <c r="C874" s="1"/>
      <c r="E874" s="2"/>
      <c r="F874" s="2"/>
    </row>
    <row r="875">
      <c r="C875" s="1"/>
      <c r="E875" s="2"/>
      <c r="F875" s="2"/>
    </row>
    <row r="876">
      <c r="C876" s="1"/>
      <c r="E876" s="2"/>
      <c r="F876" s="2"/>
    </row>
    <row r="877">
      <c r="C877" s="1"/>
      <c r="E877" s="2"/>
      <c r="F877" s="2"/>
    </row>
    <row r="878">
      <c r="C878" s="1"/>
      <c r="E878" s="2"/>
      <c r="F878" s="2"/>
    </row>
    <row r="879">
      <c r="C879" s="1"/>
      <c r="E879" s="2"/>
      <c r="F879" s="2"/>
    </row>
    <row r="880">
      <c r="C880" s="1"/>
      <c r="E880" s="2"/>
      <c r="F880" s="2"/>
    </row>
    <row r="881">
      <c r="C881" s="1"/>
      <c r="E881" s="2"/>
      <c r="F881" s="2"/>
    </row>
    <row r="882">
      <c r="C882" s="1"/>
      <c r="E882" s="2"/>
      <c r="F882" s="2"/>
    </row>
    <row r="883">
      <c r="C883" s="1"/>
      <c r="E883" s="2"/>
      <c r="F883" s="2"/>
    </row>
    <row r="884">
      <c r="C884" s="1"/>
      <c r="E884" s="2"/>
      <c r="F884" s="2"/>
    </row>
    <row r="885">
      <c r="C885" s="1"/>
      <c r="E885" s="2"/>
      <c r="F885" s="2"/>
    </row>
    <row r="886">
      <c r="C886" s="1"/>
      <c r="E886" s="2"/>
      <c r="F886" s="2"/>
    </row>
    <row r="887">
      <c r="C887" s="1"/>
      <c r="E887" s="2"/>
      <c r="F887" s="2"/>
    </row>
    <row r="888">
      <c r="C888" s="1"/>
      <c r="E888" s="2"/>
      <c r="F888" s="2"/>
    </row>
    <row r="889">
      <c r="C889" s="1"/>
      <c r="E889" s="2"/>
      <c r="F889" s="2"/>
    </row>
    <row r="890">
      <c r="C890" s="1"/>
      <c r="E890" s="2"/>
      <c r="F890" s="2"/>
    </row>
    <row r="891">
      <c r="C891" s="1"/>
      <c r="E891" s="2"/>
      <c r="F891" s="2"/>
    </row>
    <row r="892">
      <c r="C892" s="1"/>
      <c r="E892" s="2"/>
      <c r="F892" s="2"/>
    </row>
    <row r="893">
      <c r="C893" s="1"/>
      <c r="E893" s="2"/>
      <c r="F893" s="2"/>
    </row>
    <row r="894">
      <c r="C894" s="1"/>
      <c r="E894" s="2"/>
      <c r="F894" s="2"/>
    </row>
    <row r="895">
      <c r="C895" s="1"/>
      <c r="E895" s="2"/>
      <c r="F895" s="2"/>
    </row>
    <row r="896">
      <c r="C896" s="1"/>
      <c r="E896" s="2"/>
      <c r="F896" s="2"/>
    </row>
    <row r="897">
      <c r="C897" s="1"/>
      <c r="E897" s="2"/>
      <c r="F897" s="2"/>
    </row>
    <row r="898">
      <c r="C898" s="1"/>
      <c r="E898" s="2"/>
      <c r="F898" s="2"/>
    </row>
    <row r="899">
      <c r="C899" s="1"/>
      <c r="E899" s="2"/>
      <c r="F899" s="2"/>
    </row>
    <row r="900">
      <c r="C900" s="1"/>
      <c r="E900" s="2"/>
      <c r="F900" s="2"/>
    </row>
    <row r="901">
      <c r="C901" s="1"/>
      <c r="E901" s="2"/>
      <c r="F901" s="2"/>
    </row>
    <row r="902">
      <c r="C902" s="1"/>
      <c r="E902" s="2"/>
      <c r="F902" s="2"/>
    </row>
    <row r="903">
      <c r="C903" s="1"/>
      <c r="E903" s="2"/>
      <c r="F903" s="2"/>
    </row>
    <row r="904">
      <c r="C904" s="1"/>
      <c r="E904" s="2"/>
      <c r="F904" s="2"/>
    </row>
    <row r="905">
      <c r="C905" s="1"/>
      <c r="E905" s="2"/>
      <c r="F905" s="2"/>
    </row>
    <row r="906">
      <c r="C906" s="1"/>
      <c r="E906" s="2"/>
      <c r="F906" s="2"/>
    </row>
    <row r="907">
      <c r="C907" s="1"/>
      <c r="E907" s="2"/>
      <c r="F907" s="2"/>
    </row>
    <row r="908">
      <c r="C908" s="1"/>
      <c r="E908" s="2"/>
      <c r="F908" s="2"/>
    </row>
    <row r="909">
      <c r="C909" s="1"/>
      <c r="E909" s="2"/>
      <c r="F909" s="2"/>
    </row>
    <row r="910">
      <c r="C910" s="1"/>
      <c r="E910" s="2"/>
      <c r="F910" s="2"/>
    </row>
    <row r="911">
      <c r="C911" s="1"/>
      <c r="E911" s="2"/>
      <c r="F911" s="2"/>
    </row>
    <row r="912">
      <c r="C912" s="1"/>
      <c r="E912" s="2"/>
      <c r="F912" s="2"/>
    </row>
    <row r="913">
      <c r="C913" s="1"/>
      <c r="E913" s="2"/>
      <c r="F913" s="2"/>
    </row>
    <row r="914">
      <c r="C914" s="1"/>
      <c r="E914" s="2"/>
      <c r="F914" s="2"/>
    </row>
    <row r="915">
      <c r="C915" s="1"/>
      <c r="E915" s="2"/>
      <c r="F915" s="2"/>
    </row>
    <row r="916">
      <c r="C916" s="1"/>
      <c r="E916" s="2"/>
      <c r="F916" s="2"/>
    </row>
    <row r="917">
      <c r="C917" s="1"/>
      <c r="E917" s="2"/>
      <c r="F917" s="2"/>
    </row>
    <row r="918">
      <c r="C918" s="1"/>
      <c r="E918" s="2"/>
      <c r="F918" s="2"/>
    </row>
    <row r="919">
      <c r="C919" s="1"/>
      <c r="E919" s="2"/>
      <c r="F919" s="2"/>
    </row>
    <row r="920">
      <c r="C920" s="1"/>
      <c r="E920" s="2"/>
      <c r="F920" s="2"/>
    </row>
    <row r="921">
      <c r="C921" s="1"/>
      <c r="E921" s="2"/>
      <c r="F921" s="2"/>
    </row>
    <row r="922">
      <c r="C922" s="1"/>
      <c r="E922" s="2"/>
      <c r="F922" s="2"/>
    </row>
    <row r="923">
      <c r="C923" s="1"/>
      <c r="E923" s="2"/>
      <c r="F923" s="2"/>
    </row>
    <row r="924">
      <c r="C924" s="1"/>
      <c r="E924" s="2"/>
      <c r="F924" s="2"/>
    </row>
    <row r="925">
      <c r="C925" s="1"/>
      <c r="E925" s="2"/>
      <c r="F925" s="2"/>
    </row>
    <row r="926">
      <c r="C926" s="1"/>
      <c r="E926" s="2"/>
      <c r="F926" s="2"/>
    </row>
    <row r="927">
      <c r="C927" s="1"/>
      <c r="E927" s="2"/>
      <c r="F927" s="2"/>
    </row>
    <row r="928">
      <c r="C928" s="1"/>
      <c r="E928" s="2"/>
      <c r="F928" s="2"/>
    </row>
    <row r="929">
      <c r="C929" s="1"/>
      <c r="E929" s="2"/>
      <c r="F929" s="2"/>
    </row>
    <row r="930">
      <c r="C930" s="1"/>
      <c r="E930" s="2"/>
      <c r="F930" s="2"/>
    </row>
    <row r="931">
      <c r="C931" s="1"/>
      <c r="E931" s="2"/>
      <c r="F931" s="2"/>
    </row>
    <row r="932">
      <c r="C932" s="1"/>
      <c r="E932" s="2"/>
      <c r="F932" s="2"/>
    </row>
    <row r="933">
      <c r="C933" s="1"/>
      <c r="E933" s="2"/>
      <c r="F933" s="2"/>
    </row>
    <row r="934">
      <c r="C934" s="1"/>
      <c r="E934" s="2"/>
      <c r="F934" s="2"/>
    </row>
    <row r="935">
      <c r="C935" s="1"/>
      <c r="E935" s="2"/>
      <c r="F935" s="2"/>
    </row>
    <row r="936">
      <c r="C936" s="1"/>
      <c r="E936" s="2"/>
      <c r="F936" s="2"/>
    </row>
    <row r="937">
      <c r="C937" s="1"/>
      <c r="E937" s="2"/>
      <c r="F937" s="2"/>
    </row>
    <row r="938">
      <c r="C938" s="1"/>
      <c r="E938" s="2"/>
      <c r="F938" s="2"/>
    </row>
    <row r="939">
      <c r="C939" s="1"/>
      <c r="E939" s="2"/>
      <c r="F939" s="2"/>
    </row>
    <row r="940">
      <c r="C940" s="1"/>
      <c r="E940" s="2"/>
      <c r="F940" s="2"/>
    </row>
    <row r="941">
      <c r="C941" s="1"/>
      <c r="E941" s="2"/>
      <c r="F941" s="2"/>
    </row>
    <row r="942">
      <c r="C942" s="1"/>
      <c r="E942" s="2"/>
      <c r="F942" s="2"/>
    </row>
    <row r="943">
      <c r="C943" s="1"/>
      <c r="E943" s="2"/>
      <c r="F943" s="2"/>
    </row>
    <row r="944">
      <c r="C944" s="1"/>
      <c r="E944" s="2"/>
      <c r="F944" s="2"/>
    </row>
    <row r="945">
      <c r="C945" s="1"/>
      <c r="E945" s="2"/>
      <c r="F945" s="2"/>
    </row>
    <row r="946">
      <c r="C946" s="1"/>
      <c r="E946" s="2"/>
      <c r="F946" s="2"/>
    </row>
    <row r="947">
      <c r="C947" s="1"/>
      <c r="E947" s="2"/>
      <c r="F947" s="2"/>
    </row>
    <row r="948">
      <c r="C948" s="1"/>
      <c r="E948" s="2"/>
      <c r="F948" s="2"/>
    </row>
    <row r="949">
      <c r="C949" s="1"/>
      <c r="E949" s="2"/>
      <c r="F949" s="2"/>
    </row>
    <row r="950">
      <c r="C950" s="1"/>
      <c r="E950" s="2"/>
      <c r="F950" s="2"/>
    </row>
    <row r="951">
      <c r="C951" s="1"/>
      <c r="E951" s="2"/>
      <c r="F951" s="2"/>
    </row>
    <row r="952">
      <c r="C952" s="1"/>
      <c r="E952" s="2"/>
      <c r="F952" s="2"/>
    </row>
    <row r="953">
      <c r="C953" s="1"/>
      <c r="E953" s="2"/>
      <c r="F953" s="2"/>
    </row>
    <row r="954">
      <c r="C954" s="1"/>
      <c r="E954" s="2"/>
      <c r="F954" s="2"/>
    </row>
    <row r="955">
      <c r="C955" s="1"/>
      <c r="E955" s="2"/>
      <c r="F955" s="2"/>
    </row>
    <row r="956">
      <c r="C956" s="1"/>
      <c r="E956" s="2"/>
      <c r="F956" s="2"/>
    </row>
    <row r="957">
      <c r="C957" s="1"/>
      <c r="E957" s="2"/>
      <c r="F957" s="2"/>
    </row>
    <row r="958">
      <c r="C958" s="1"/>
      <c r="E958" s="2"/>
      <c r="F958" s="2"/>
    </row>
    <row r="959">
      <c r="C959" s="1"/>
      <c r="E959" s="2"/>
      <c r="F959" s="2"/>
    </row>
    <row r="960">
      <c r="C960" s="1"/>
      <c r="E960" s="2"/>
      <c r="F960" s="2"/>
    </row>
    <row r="961">
      <c r="C961" s="1"/>
      <c r="E961" s="2"/>
      <c r="F961" s="2"/>
    </row>
    <row r="962">
      <c r="C962" s="1"/>
      <c r="E962" s="2"/>
      <c r="F962" s="2"/>
    </row>
    <row r="963">
      <c r="C963" s="1"/>
      <c r="E963" s="2"/>
      <c r="F963" s="2"/>
    </row>
    <row r="964">
      <c r="C964" s="1"/>
      <c r="E964" s="2"/>
      <c r="F964" s="2"/>
    </row>
    <row r="965">
      <c r="C965" s="1"/>
      <c r="E965" s="2"/>
      <c r="F965" s="2"/>
    </row>
    <row r="966">
      <c r="C966" s="1"/>
      <c r="E966" s="2"/>
      <c r="F966" s="2"/>
    </row>
    <row r="967">
      <c r="C967" s="1"/>
      <c r="E967" s="2"/>
      <c r="F967" s="2"/>
    </row>
    <row r="968">
      <c r="C968" s="1"/>
      <c r="E968" s="2"/>
      <c r="F968" s="2"/>
    </row>
    <row r="969">
      <c r="C969" s="1"/>
      <c r="E969" s="2"/>
      <c r="F969" s="2"/>
    </row>
    <row r="970">
      <c r="C970" s="1"/>
      <c r="E970" s="2"/>
      <c r="F970" s="2"/>
    </row>
    <row r="971">
      <c r="C971" s="1"/>
      <c r="E971" s="2"/>
      <c r="F971" s="2"/>
    </row>
    <row r="972">
      <c r="C972" s="1"/>
      <c r="E972" s="2"/>
      <c r="F972" s="2"/>
    </row>
    <row r="973">
      <c r="C973" s="1"/>
      <c r="E973" s="2"/>
      <c r="F973" s="2"/>
    </row>
    <row r="974">
      <c r="C974" s="1"/>
      <c r="E974" s="2"/>
      <c r="F974" s="2"/>
    </row>
    <row r="975">
      <c r="C975" s="1"/>
      <c r="E975" s="2"/>
      <c r="F975" s="2"/>
    </row>
    <row r="976">
      <c r="C976" s="1"/>
      <c r="E976" s="2"/>
      <c r="F976" s="2"/>
    </row>
    <row r="977">
      <c r="C977" s="1"/>
      <c r="E977" s="2"/>
      <c r="F977" s="2"/>
    </row>
    <row r="978">
      <c r="C978" s="1"/>
      <c r="E978" s="2"/>
      <c r="F978" s="2"/>
    </row>
    <row r="979">
      <c r="C979" s="1"/>
      <c r="E979" s="2"/>
      <c r="F979" s="2"/>
    </row>
    <row r="980">
      <c r="C980" s="1"/>
      <c r="E980" s="2"/>
      <c r="F980" s="2"/>
    </row>
    <row r="981">
      <c r="C981" s="1"/>
      <c r="E981" s="2"/>
      <c r="F981" s="2"/>
    </row>
    <row r="982">
      <c r="C982" s="1"/>
      <c r="E982" s="2"/>
      <c r="F982" s="2"/>
    </row>
    <row r="983">
      <c r="C983" s="1"/>
      <c r="E983" s="2"/>
      <c r="F983" s="2"/>
    </row>
  </sheetData>
  <conditionalFormatting sqref="O11:O23">
    <cfRule type="containsText" dxfId="0" priority="1" operator="containsText" text="-">
      <formula>NOT(ISERROR(SEARCH(("-"),(O11))))</formula>
    </cfRule>
  </conditionalFormatting>
  <conditionalFormatting sqref="O11:O23">
    <cfRule type="notContainsText" dxfId="1" priority="2" operator="notContains" text="-">
      <formula>ISERROR(SEARCH(("-"),(O11)))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/>
      <c r="E1" s="2"/>
      <c r="F1" s="2"/>
    </row>
    <row r="2">
      <c r="C2" s="1"/>
      <c r="E2" s="2"/>
      <c r="F2" s="2"/>
    </row>
    <row r="3">
      <c r="C3" s="1"/>
      <c r="E3" s="2"/>
      <c r="F3" s="2"/>
      <c r="G3" s="70"/>
    </row>
    <row r="4">
      <c r="C4" s="1"/>
      <c r="E4" s="2"/>
      <c r="F4" s="2"/>
    </row>
    <row r="5">
      <c r="C5" s="1"/>
      <c r="E5" s="2"/>
      <c r="F5" s="2"/>
    </row>
    <row r="6">
      <c r="A6" s="3" t="s">
        <v>40</v>
      </c>
      <c r="C6" s="1"/>
      <c r="E6" s="2"/>
      <c r="F6" s="2"/>
      <c r="M6" s="71"/>
    </row>
    <row r="7">
      <c r="C7" s="1"/>
      <c r="E7" s="2"/>
      <c r="F7" s="2"/>
    </row>
    <row r="8">
      <c r="C8" s="1"/>
      <c r="E8" s="2"/>
      <c r="F8" s="2"/>
    </row>
    <row r="9">
      <c r="A9" s="4" t="s">
        <v>1</v>
      </c>
      <c r="B9" s="5"/>
      <c r="C9" s="5"/>
      <c r="D9" s="6"/>
      <c r="E9" s="7"/>
      <c r="F9" s="7"/>
      <c r="G9" s="5"/>
      <c r="H9" s="5"/>
      <c r="I9" s="5"/>
      <c r="J9" s="7"/>
      <c r="K9" s="5"/>
    </row>
    <row r="10">
      <c r="A10" s="8" t="s">
        <v>3</v>
      </c>
      <c r="B10" s="8" t="s">
        <v>4</v>
      </c>
      <c r="C10" s="8" t="s">
        <v>5</v>
      </c>
      <c r="D10" s="9" t="s">
        <v>6</v>
      </c>
      <c r="E10" s="10" t="s">
        <v>7</v>
      </c>
      <c r="F10" s="10" t="s">
        <v>8</v>
      </c>
      <c r="G10" s="8" t="s">
        <v>9</v>
      </c>
      <c r="H10" s="8" t="s">
        <v>10</v>
      </c>
      <c r="I10" s="8" t="s">
        <v>11</v>
      </c>
      <c r="J10" s="10" t="s">
        <v>12</v>
      </c>
      <c r="K10" s="8" t="s">
        <v>13</v>
      </c>
      <c r="M10" s="10" t="s">
        <v>41</v>
      </c>
      <c r="N10" s="10" t="s">
        <v>42</v>
      </c>
      <c r="O10" s="10" t="s">
        <v>43</v>
      </c>
    </row>
    <row r="11">
      <c r="A11" s="48" t="s">
        <v>16</v>
      </c>
      <c r="B11" s="50">
        <v>730765.0</v>
      </c>
      <c r="C11" s="50">
        <v>112092.0</v>
      </c>
      <c r="D11" s="51">
        <f t="shared" ref="D11:D23" si="1">C11/B11</f>
        <v>0.1533899407</v>
      </c>
      <c r="E11" s="52">
        <f t="shared" ref="E11:E16" si="2">F11/C11</f>
        <v>0.2233575099</v>
      </c>
      <c r="F11" s="52">
        <v>25036.59</v>
      </c>
      <c r="G11" s="50">
        <v>14769.0</v>
      </c>
      <c r="H11" s="53">
        <f t="shared" ref="H11:H23" si="3">G11/C11</f>
        <v>0.1317578418</v>
      </c>
      <c r="I11" s="52">
        <f t="shared" ref="I11:I23" si="4">F11/G11</f>
        <v>1.695212269</v>
      </c>
      <c r="J11" s="52">
        <v>1349082.62</v>
      </c>
      <c r="K11" s="52">
        <f t="shared" ref="K11:K23" si="5">J11/G11</f>
        <v>91.345563</v>
      </c>
      <c r="M11" s="18">
        <v>24874.208904869996</v>
      </c>
      <c r="N11" s="18">
        <v>25036.59</v>
      </c>
      <c r="O11" s="18">
        <f t="shared" ref="O11:O22" si="6">N11-M11</f>
        <v>162.3810951</v>
      </c>
    </row>
    <row r="12">
      <c r="A12" s="48" t="s">
        <v>17</v>
      </c>
      <c r="B12" s="50">
        <v>968272.0</v>
      </c>
      <c r="C12" s="50">
        <v>136630.0</v>
      </c>
      <c r="D12" s="51">
        <f t="shared" si="1"/>
        <v>0.1411070443</v>
      </c>
      <c r="E12" s="52">
        <f t="shared" si="2"/>
        <v>0.217968089</v>
      </c>
      <c r="F12" s="52">
        <v>29780.98</v>
      </c>
      <c r="G12" s="50">
        <v>16361.0</v>
      </c>
      <c r="H12" s="53">
        <f t="shared" si="3"/>
        <v>0.1197467613</v>
      </c>
      <c r="I12" s="52">
        <f t="shared" si="4"/>
        <v>1.820242039</v>
      </c>
      <c r="J12" s="52">
        <v>1503057.81</v>
      </c>
      <c r="K12" s="52">
        <f t="shared" si="5"/>
        <v>91.86833384</v>
      </c>
      <c r="M12" s="18">
        <v>29990.72867868</v>
      </c>
      <c r="N12" s="18">
        <v>29780.98</v>
      </c>
      <c r="O12" s="18">
        <f t="shared" si="6"/>
        <v>-209.7486787</v>
      </c>
    </row>
    <row r="13">
      <c r="A13" s="48" t="s">
        <v>18</v>
      </c>
      <c r="B13" s="50">
        <v>944982.0</v>
      </c>
      <c r="C13" s="50">
        <v>133875.0</v>
      </c>
      <c r="D13" s="51">
        <f t="shared" si="1"/>
        <v>0.1416693651</v>
      </c>
      <c r="E13" s="52">
        <f t="shared" si="2"/>
        <v>0.1871534641</v>
      </c>
      <c r="F13" s="52">
        <v>25055.17</v>
      </c>
      <c r="G13" s="50">
        <v>15464.0</v>
      </c>
      <c r="H13" s="53">
        <f t="shared" si="3"/>
        <v>0.1155107376</v>
      </c>
      <c r="I13" s="52">
        <f t="shared" si="4"/>
        <v>1.620225685</v>
      </c>
      <c r="J13" s="52">
        <v>1384380.68</v>
      </c>
      <c r="K13" s="52">
        <f t="shared" si="5"/>
        <v>89.52280652</v>
      </c>
      <c r="M13" s="18">
        <v>29463.922399999996</v>
      </c>
      <c r="N13" s="18">
        <v>25055.17</v>
      </c>
      <c r="O13" s="18">
        <f t="shared" si="6"/>
        <v>-4408.7524</v>
      </c>
    </row>
    <row r="14">
      <c r="A14" s="48" t="s">
        <v>19</v>
      </c>
      <c r="B14" s="50">
        <v>1123774.0</v>
      </c>
      <c r="C14" s="50">
        <v>159287.0</v>
      </c>
      <c r="D14" s="51">
        <f t="shared" si="1"/>
        <v>0.1417429127</v>
      </c>
      <c r="E14" s="52">
        <f t="shared" si="2"/>
        <v>0.222555513</v>
      </c>
      <c r="F14" s="52">
        <v>35450.2</v>
      </c>
      <c r="G14" s="50">
        <v>17843.0</v>
      </c>
      <c r="H14" s="53">
        <f t="shared" si="3"/>
        <v>0.1120179299</v>
      </c>
      <c r="I14" s="52">
        <f t="shared" si="4"/>
        <v>1.986784734</v>
      </c>
      <c r="J14" s="52">
        <v>1635647.89</v>
      </c>
      <c r="K14" s="52">
        <f t="shared" si="5"/>
        <v>91.6688836</v>
      </c>
      <c r="M14" s="18">
        <v>36213.37355999999</v>
      </c>
      <c r="N14" s="18">
        <v>35450.2</v>
      </c>
      <c r="O14" s="18">
        <f t="shared" si="6"/>
        <v>-763.17356</v>
      </c>
    </row>
    <row r="15">
      <c r="A15" s="48" t="s">
        <v>20</v>
      </c>
      <c r="B15" s="50">
        <v>1.0034117E7</v>
      </c>
      <c r="C15" s="50">
        <v>168491.0</v>
      </c>
      <c r="D15" s="51">
        <f t="shared" si="1"/>
        <v>0.01679181138</v>
      </c>
      <c r="E15" s="52">
        <f t="shared" si="2"/>
        <v>0.2638359319</v>
      </c>
      <c r="F15" s="52">
        <v>44453.98</v>
      </c>
      <c r="G15" s="50">
        <v>17296.0</v>
      </c>
      <c r="H15" s="53">
        <f t="shared" si="3"/>
        <v>0.1026523672</v>
      </c>
      <c r="I15" s="52">
        <f t="shared" si="4"/>
        <v>2.570188483</v>
      </c>
      <c r="J15" s="52">
        <v>1530969.5</v>
      </c>
      <c r="K15" s="52">
        <f t="shared" si="5"/>
        <v>88.5158129</v>
      </c>
      <c r="M15" s="18">
        <v>39553.553795175</v>
      </c>
      <c r="N15" s="18">
        <v>44453.98</v>
      </c>
      <c r="O15" s="18">
        <f t="shared" si="6"/>
        <v>4900.426205</v>
      </c>
    </row>
    <row r="16">
      <c r="A16" s="48" t="s">
        <v>21</v>
      </c>
      <c r="B16" s="50">
        <v>4228226.0</v>
      </c>
      <c r="C16" s="50">
        <v>107306.0</v>
      </c>
      <c r="D16" s="51">
        <f t="shared" si="1"/>
        <v>0.02537849207</v>
      </c>
      <c r="E16" s="52">
        <f t="shared" si="2"/>
        <v>0.2182146385</v>
      </c>
      <c r="F16" s="52">
        <v>23415.74</v>
      </c>
      <c r="G16" s="50">
        <v>13302.0</v>
      </c>
      <c r="H16" s="53">
        <f t="shared" si="3"/>
        <v>0.1239632453</v>
      </c>
      <c r="I16" s="52">
        <f t="shared" si="4"/>
        <v>1.760317246</v>
      </c>
      <c r="J16" s="52">
        <v>1146802.51</v>
      </c>
      <c r="K16" s="52">
        <f t="shared" si="5"/>
        <v>86.2127883</v>
      </c>
      <c r="M16" s="18">
        <v>22167.88191072</v>
      </c>
      <c r="N16" s="18">
        <v>23415.74</v>
      </c>
      <c r="O16" s="18">
        <f t="shared" si="6"/>
        <v>1247.858089</v>
      </c>
    </row>
    <row r="17">
      <c r="A17" s="48" t="s">
        <v>22</v>
      </c>
      <c r="B17" s="50">
        <v>3434778.0</v>
      </c>
      <c r="C17" s="50">
        <v>87582.0</v>
      </c>
      <c r="D17" s="51">
        <f t="shared" si="1"/>
        <v>0.02549859118</v>
      </c>
      <c r="E17" s="52">
        <v>0.16</v>
      </c>
      <c r="F17" s="52">
        <v>14204.65</v>
      </c>
      <c r="G17" s="50">
        <v>14729.0</v>
      </c>
      <c r="H17" s="53">
        <f t="shared" si="3"/>
        <v>0.1681738257</v>
      </c>
      <c r="I17" s="52">
        <f t="shared" si="4"/>
        <v>0.9644001629</v>
      </c>
      <c r="J17" s="52">
        <v>1210107.11</v>
      </c>
      <c r="K17" s="52">
        <f t="shared" si="5"/>
        <v>82.1581309</v>
      </c>
      <c r="M17" s="18">
        <v>12307.101136266772</v>
      </c>
      <c r="N17" s="18">
        <v>14204.65</v>
      </c>
      <c r="O17" s="18">
        <f t="shared" si="6"/>
        <v>1897.548864</v>
      </c>
    </row>
    <row r="18">
      <c r="A18" s="48" t="s">
        <v>23</v>
      </c>
      <c r="B18" s="50">
        <v>472301.0</v>
      </c>
      <c r="C18" s="50">
        <v>63007.0</v>
      </c>
      <c r="D18" s="51">
        <f t="shared" si="1"/>
        <v>0.1334043333</v>
      </c>
      <c r="E18" s="52">
        <f t="shared" ref="E18:E23" si="7">F18/C18</f>
        <v>0.151051153</v>
      </c>
      <c r="F18" s="52">
        <v>9517.28</v>
      </c>
      <c r="G18" s="50">
        <v>12388.0</v>
      </c>
      <c r="H18" s="53">
        <f t="shared" si="3"/>
        <v>0.1966130747</v>
      </c>
      <c r="I18" s="52">
        <f t="shared" si="4"/>
        <v>0.7682660639</v>
      </c>
      <c r="J18" s="52">
        <v>926805.65</v>
      </c>
      <c r="K18" s="52">
        <f t="shared" si="5"/>
        <v>74.81479254</v>
      </c>
      <c r="M18" s="18">
        <v>12360.430150996084</v>
      </c>
      <c r="N18" s="18">
        <v>9517.28</v>
      </c>
      <c r="O18" s="18">
        <f t="shared" si="6"/>
        <v>-2843.150151</v>
      </c>
      <c r="P18" s="2">
        <f t="shared" ref="P18:P22" si="8">M18-$O$24</f>
        <v>12360.43015</v>
      </c>
    </row>
    <row r="19">
      <c r="A19" s="48" t="s">
        <v>24</v>
      </c>
      <c r="B19" s="50">
        <v>2039833.0</v>
      </c>
      <c r="C19" s="50">
        <v>65046.0</v>
      </c>
      <c r="D19" s="51">
        <f t="shared" si="1"/>
        <v>0.03188790455</v>
      </c>
      <c r="E19" s="52">
        <f t="shared" si="7"/>
        <v>0.1792849676</v>
      </c>
      <c r="F19" s="52">
        <v>11661.77</v>
      </c>
      <c r="G19" s="50">
        <v>9683.0</v>
      </c>
      <c r="H19" s="53">
        <f t="shared" si="3"/>
        <v>0.1488638809</v>
      </c>
      <c r="I19" s="52">
        <f t="shared" si="4"/>
        <v>1.204355055</v>
      </c>
      <c r="J19" s="52">
        <v>724590.41</v>
      </c>
      <c r="K19" s="52">
        <f t="shared" si="5"/>
        <v>74.83118971</v>
      </c>
      <c r="M19" s="18">
        <v>10388.990606020461</v>
      </c>
      <c r="N19" s="18">
        <v>11661.77</v>
      </c>
      <c r="O19" s="18">
        <f t="shared" si="6"/>
        <v>1272.779394</v>
      </c>
      <c r="P19" s="2">
        <f t="shared" si="8"/>
        <v>10388.99061</v>
      </c>
      <c r="Q19" s="2">
        <f>P19-F19</f>
        <v>-1272.779394</v>
      </c>
    </row>
    <row r="20">
      <c r="A20" s="48" t="s">
        <v>25</v>
      </c>
      <c r="B20" s="50">
        <v>1916782.0</v>
      </c>
      <c r="C20" s="50">
        <v>76103.0</v>
      </c>
      <c r="D20" s="51">
        <f t="shared" si="1"/>
        <v>0.03970352393</v>
      </c>
      <c r="E20" s="52">
        <f t="shared" si="7"/>
        <v>0.182035925</v>
      </c>
      <c r="F20" s="52">
        <v>13853.48</v>
      </c>
      <c r="G20" s="50">
        <v>10772.25</v>
      </c>
      <c r="H20" s="53">
        <f t="shared" si="3"/>
        <v>0.1415482964</v>
      </c>
      <c r="I20" s="52">
        <f t="shared" si="4"/>
        <v>1.286034023</v>
      </c>
      <c r="J20" s="52">
        <v>965622.94</v>
      </c>
      <c r="K20" s="52">
        <f t="shared" si="5"/>
        <v>89.63985611</v>
      </c>
      <c r="M20" s="18">
        <v>13987.136852848338</v>
      </c>
      <c r="N20" s="18">
        <v>13853.48</v>
      </c>
      <c r="O20" s="18">
        <f t="shared" si="6"/>
        <v>-133.6568528</v>
      </c>
      <c r="P20" s="2">
        <f t="shared" si="8"/>
        <v>13987.13685</v>
      </c>
      <c r="Q20" s="2">
        <f>P20+Q19</f>
        <v>12714.35746</v>
      </c>
    </row>
    <row r="21">
      <c r="A21" s="14" t="s">
        <v>26</v>
      </c>
      <c r="B21" s="77">
        <v>281968.33378316555</v>
      </c>
      <c r="C21" s="74">
        <v>121579.78414368922</v>
      </c>
      <c r="D21" s="75">
        <f t="shared" si="1"/>
        <v>0.4311824045</v>
      </c>
      <c r="E21" s="76">
        <f t="shared" si="7"/>
        <v>0.1056287449</v>
      </c>
      <c r="F21" s="76">
        <v>12842.32</v>
      </c>
      <c r="G21" s="77">
        <v>10856.652702824167</v>
      </c>
      <c r="H21" s="78">
        <f t="shared" si="3"/>
        <v>0.08929652885</v>
      </c>
      <c r="I21" s="76">
        <f t="shared" si="4"/>
        <v>1.182898666</v>
      </c>
      <c r="J21" s="76">
        <v>1120626.43</v>
      </c>
      <c r="K21" s="76">
        <f t="shared" si="5"/>
        <v>103.2202522</v>
      </c>
      <c r="M21" s="73">
        <v>12842.323533888557</v>
      </c>
      <c r="N21" s="18"/>
      <c r="O21" s="18">
        <f t="shared" si="6"/>
        <v>-12842.32353</v>
      </c>
      <c r="P21" s="2">
        <f t="shared" si="8"/>
        <v>12842.32353</v>
      </c>
    </row>
    <row r="22">
      <c r="A22" s="14" t="s">
        <v>27</v>
      </c>
      <c r="B22" s="74">
        <v>554628.0</v>
      </c>
      <c r="C22" s="74">
        <v>152800.01400000002</v>
      </c>
      <c r="D22" s="75">
        <f t="shared" si="1"/>
        <v>0.2755</v>
      </c>
      <c r="E22" s="76">
        <f t="shared" si="7"/>
        <v>0.1799999835</v>
      </c>
      <c r="F22" s="76">
        <v>27504.0</v>
      </c>
      <c r="G22" s="77">
        <v>8801.280806400002</v>
      </c>
      <c r="H22" s="78">
        <f t="shared" si="3"/>
        <v>0.0576</v>
      </c>
      <c r="I22" s="76">
        <f t="shared" si="4"/>
        <v>3.124999714</v>
      </c>
      <c r="J22" s="76">
        <v>902957.18</v>
      </c>
      <c r="K22" s="76">
        <f t="shared" si="5"/>
        <v>102.5938383</v>
      </c>
      <c r="M22" s="18">
        <v>27504.002520000002</v>
      </c>
      <c r="N22" s="18"/>
      <c r="O22" s="18">
        <f t="shared" si="6"/>
        <v>-27504.00252</v>
      </c>
      <c r="P22" s="2">
        <f t="shared" si="8"/>
        <v>27504.00252</v>
      </c>
    </row>
    <row r="23">
      <c r="A23" s="8" t="s">
        <v>28</v>
      </c>
      <c r="B23" s="34">
        <f t="shared" ref="B23:C23" si="9">sum(B11:B22)</f>
        <v>26730426.33</v>
      </c>
      <c r="C23" s="34">
        <f t="shared" si="9"/>
        <v>1383798.798</v>
      </c>
      <c r="D23" s="35">
        <f t="shared" si="1"/>
        <v>0.05176867667</v>
      </c>
      <c r="E23" s="36">
        <f t="shared" si="7"/>
        <v>0.1971212581</v>
      </c>
      <c r="F23" s="36">
        <f t="shared" ref="F23:G23" si="10">sum(F11:F22)</f>
        <v>272776.16</v>
      </c>
      <c r="G23" s="34">
        <f t="shared" si="10"/>
        <v>162265.1835</v>
      </c>
      <c r="H23" s="35">
        <f t="shared" si="3"/>
        <v>0.1172606767</v>
      </c>
      <c r="I23" s="36">
        <f t="shared" si="4"/>
        <v>1.681051684</v>
      </c>
      <c r="J23" s="36">
        <f>sum(J11:J22)</f>
        <v>14400650.73</v>
      </c>
      <c r="K23" s="36">
        <f t="shared" si="5"/>
        <v>88.74763161</v>
      </c>
      <c r="M23" s="36">
        <f>sum(M11:M22)</f>
        <v>271653.654</v>
      </c>
      <c r="N23" s="36">
        <f>SUM(N11:N22)</f>
        <v>232429.84</v>
      </c>
      <c r="O23" s="36">
        <f>F23-M23</f>
        <v>1122.505951</v>
      </c>
    </row>
    <row r="24">
      <c r="F24" s="71">
        <v>271653.65</v>
      </c>
      <c r="N24" s="2"/>
      <c r="O24" s="2"/>
    </row>
    <row r="25">
      <c r="C25" s="1"/>
      <c r="D25" s="23"/>
      <c r="E25" s="2"/>
      <c r="F25" s="2">
        <f>F24-F23</f>
        <v>-1122.51</v>
      </c>
      <c r="H25" s="70">
        <f>F19-F25</f>
        <v>12784.28</v>
      </c>
    </row>
    <row r="26">
      <c r="C26" s="1"/>
      <c r="E26" s="2"/>
      <c r="F26" s="2">
        <f>SUM(F11:F18)</f>
        <v>206914.59</v>
      </c>
      <c r="G26" s="2">
        <f>F24-F26</f>
        <v>64739.06</v>
      </c>
      <c r="H26" s="2">
        <f>G26/4</f>
        <v>16184.765</v>
      </c>
    </row>
    <row r="27">
      <c r="C27" s="1"/>
      <c r="E27" s="2"/>
      <c r="F27" s="2">
        <f>F17-'Summer Upweight'!F17</f>
        <v>1897.548864</v>
      </c>
    </row>
    <row r="28">
      <c r="C28" s="1"/>
      <c r="E28" s="2"/>
      <c r="F28" s="2"/>
    </row>
    <row r="29">
      <c r="C29" s="1"/>
      <c r="E29" s="2"/>
      <c r="F29" s="2"/>
    </row>
    <row r="30">
      <c r="C30" s="1"/>
      <c r="E30" s="2"/>
      <c r="F30" s="71"/>
      <c r="G30" s="79"/>
    </row>
    <row r="31">
      <c r="C31" s="1"/>
      <c r="E31" s="2"/>
      <c r="F31" s="71"/>
    </row>
    <row r="32">
      <c r="C32" s="1"/>
      <c r="E32" s="2"/>
      <c r="F32" s="2"/>
    </row>
    <row r="33">
      <c r="C33" s="1"/>
      <c r="D33" s="23"/>
      <c r="E33" s="2"/>
      <c r="F33" s="2"/>
      <c r="J33" s="2"/>
    </row>
    <row r="34">
      <c r="B34" s="1"/>
      <c r="C34" s="1"/>
      <c r="D34" s="23"/>
      <c r="E34" s="2"/>
      <c r="F34" s="2"/>
      <c r="G34" s="1"/>
      <c r="H34" s="23"/>
      <c r="I34" s="2"/>
      <c r="J34" s="2"/>
      <c r="K34" s="2"/>
    </row>
    <row r="35">
      <c r="B35" s="1"/>
      <c r="C35" s="1"/>
      <c r="D35" s="23"/>
      <c r="E35" s="2"/>
      <c r="F35" s="2"/>
      <c r="G35" s="1"/>
      <c r="H35" s="23"/>
      <c r="I35" s="2"/>
      <c r="J35" s="2"/>
      <c r="K35" s="2"/>
    </row>
    <row r="36">
      <c r="B36" s="1"/>
      <c r="C36" s="1"/>
      <c r="D36" s="23"/>
      <c r="E36" s="2"/>
      <c r="F36" s="2"/>
      <c r="G36" s="1"/>
      <c r="H36" s="23"/>
      <c r="I36" s="2"/>
      <c r="J36" s="2"/>
      <c r="K36" s="2"/>
    </row>
    <row r="37">
      <c r="B37" s="1"/>
      <c r="C37" s="1"/>
      <c r="D37" s="23"/>
      <c r="E37" s="2"/>
      <c r="F37" s="2"/>
      <c r="G37" s="1"/>
      <c r="H37" s="23"/>
      <c r="I37" s="2"/>
      <c r="J37" s="2"/>
      <c r="K37" s="2"/>
    </row>
    <row r="38">
      <c r="B38" s="1"/>
      <c r="C38" s="1"/>
      <c r="D38" s="23"/>
      <c r="E38" s="2"/>
      <c r="F38" s="2"/>
      <c r="G38" s="1"/>
      <c r="H38" s="23"/>
      <c r="I38" s="2"/>
      <c r="J38" s="2"/>
      <c r="K38" s="2"/>
    </row>
    <row r="39">
      <c r="B39" s="1"/>
      <c r="C39" s="1"/>
      <c r="D39" s="23"/>
      <c r="E39" s="2"/>
      <c r="F39" s="2"/>
      <c r="G39" s="1"/>
      <c r="H39" s="23"/>
      <c r="I39" s="2"/>
      <c r="J39" s="2"/>
      <c r="K39" s="2"/>
    </row>
    <row r="40">
      <c r="B40" s="1"/>
      <c r="C40" s="1"/>
      <c r="D40" s="23"/>
      <c r="E40" s="2"/>
      <c r="F40" s="2"/>
      <c r="G40" s="1"/>
      <c r="H40" s="23"/>
      <c r="I40" s="2"/>
      <c r="J40" s="2"/>
      <c r="K40" s="2"/>
    </row>
    <row r="41">
      <c r="B41" s="1"/>
      <c r="C41" s="1"/>
      <c r="D41" s="23"/>
      <c r="E41" s="2"/>
      <c r="F41" s="2"/>
      <c r="G41" s="1"/>
      <c r="H41" s="23"/>
      <c r="I41" s="2"/>
      <c r="J41" s="2"/>
      <c r="K41" s="2"/>
    </row>
    <row r="42">
      <c r="B42" s="1"/>
      <c r="C42" s="1"/>
      <c r="D42" s="23"/>
      <c r="E42" s="2"/>
      <c r="F42" s="2"/>
      <c r="G42" s="1"/>
      <c r="H42" s="23"/>
      <c r="I42" s="2"/>
      <c r="J42" s="2"/>
      <c r="K42" s="2"/>
    </row>
    <row r="43">
      <c r="B43" s="1"/>
      <c r="C43" s="1"/>
      <c r="D43" s="23"/>
      <c r="E43" s="2"/>
      <c r="F43" s="2"/>
      <c r="G43" s="1"/>
      <c r="H43" s="23"/>
      <c r="I43" s="2"/>
      <c r="J43" s="2"/>
      <c r="K43" s="2"/>
    </row>
    <row r="44">
      <c r="B44" s="1"/>
      <c r="C44" s="1"/>
      <c r="D44" s="23"/>
      <c r="E44" s="2"/>
      <c r="F44" s="2"/>
      <c r="G44" s="1"/>
      <c r="H44" s="23"/>
      <c r="I44" s="2"/>
      <c r="J44" s="2"/>
      <c r="K44" s="2"/>
    </row>
    <row r="45">
      <c r="B45" s="1"/>
      <c r="C45" s="1"/>
      <c r="D45" s="23"/>
      <c r="E45" s="2"/>
      <c r="F45" s="2"/>
      <c r="G45" s="1"/>
      <c r="H45" s="23"/>
      <c r="I45" s="2"/>
      <c r="J45" s="2"/>
      <c r="K45" s="2"/>
    </row>
    <row r="46">
      <c r="B46" s="1"/>
      <c r="C46" s="1"/>
      <c r="D46" s="23"/>
      <c r="E46" s="2"/>
      <c r="F46" s="2"/>
      <c r="G46" s="1"/>
      <c r="H46" s="23"/>
      <c r="I46" s="2"/>
      <c r="J46" s="2"/>
      <c r="K46" s="2"/>
    </row>
    <row r="47">
      <c r="C47" s="1"/>
      <c r="E47" s="2"/>
      <c r="F47" s="2"/>
    </row>
    <row r="48">
      <c r="C48" s="1"/>
      <c r="E48" s="2"/>
      <c r="F48" s="2"/>
    </row>
    <row r="49">
      <c r="C49" s="1"/>
      <c r="E49" s="2"/>
      <c r="F49" s="2"/>
    </row>
    <row r="50">
      <c r="C50" s="1"/>
      <c r="E50" s="2"/>
      <c r="F50" s="2"/>
    </row>
    <row r="51">
      <c r="C51" s="1"/>
      <c r="E51" s="2"/>
      <c r="F51" s="2"/>
    </row>
    <row r="52">
      <c r="C52" s="1"/>
      <c r="E52" s="2"/>
      <c r="F52" s="2"/>
    </row>
    <row r="53">
      <c r="C53" s="1"/>
      <c r="E53" s="2"/>
      <c r="F53" s="2"/>
    </row>
    <row r="54">
      <c r="C54" s="1"/>
      <c r="E54" s="2"/>
      <c r="F54" s="2"/>
    </row>
    <row r="55">
      <c r="C55" s="1"/>
      <c r="E55" s="2"/>
      <c r="F55" s="2"/>
    </row>
    <row r="56">
      <c r="C56" s="1"/>
      <c r="E56" s="2"/>
      <c r="F56" s="2"/>
    </row>
    <row r="57">
      <c r="C57" s="1"/>
      <c r="E57" s="2"/>
      <c r="F57" s="2"/>
    </row>
    <row r="58">
      <c r="C58" s="1"/>
      <c r="E58" s="2"/>
      <c r="F58" s="2"/>
    </row>
    <row r="59">
      <c r="C59" s="1"/>
      <c r="E59" s="2"/>
      <c r="F59" s="2"/>
    </row>
    <row r="60">
      <c r="C60" s="1"/>
      <c r="E60" s="2"/>
      <c r="F60" s="2"/>
    </row>
    <row r="61">
      <c r="C61" s="1"/>
      <c r="E61" s="2"/>
      <c r="F61" s="2"/>
    </row>
    <row r="62">
      <c r="C62" s="1"/>
      <c r="E62" s="2"/>
      <c r="F62" s="2"/>
    </row>
    <row r="63">
      <c r="C63" s="1"/>
      <c r="E63" s="2"/>
      <c r="F63" s="2"/>
    </row>
    <row r="64">
      <c r="C64" s="1"/>
      <c r="E64" s="2"/>
      <c r="F64" s="2"/>
    </row>
    <row r="65">
      <c r="C65" s="1"/>
      <c r="E65" s="2"/>
      <c r="F65" s="2"/>
    </row>
    <row r="66">
      <c r="C66" s="1"/>
      <c r="E66" s="2"/>
      <c r="F66" s="2"/>
    </row>
    <row r="67">
      <c r="C67" s="1"/>
      <c r="E67" s="2"/>
      <c r="F67" s="2"/>
    </row>
    <row r="68">
      <c r="C68" s="1"/>
      <c r="E68" s="2"/>
      <c r="F68" s="2"/>
    </row>
    <row r="69">
      <c r="C69" s="1"/>
      <c r="E69" s="2"/>
      <c r="F69" s="2"/>
    </row>
    <row r="70">
      <c r="C70" s="1"/>
      <c r="E70" s="2"/>
      <c r="F70" s="2"/>
    </row>
    <row r="71">
      <c r="C71" s="1"/>
      <c r="E71" s="2"/>
      <c r="F71" s="2"/>
    </row>
    <row r="72">
      <c r="C72" s="1"/>
      <c r="E72" s="2"/>
      <c r="F72" s="2"/>
    </row>
    <row r="73">
      <c r="C73" s="1"/>
      <c r="E73" s="2"/>
      <c r="F73" s="2"/>
    </row>
    <row r="74">
      <c r="C74" s="1"/>
      <c r="E74" s="2"/>
      <c r="F74" s="2"/>
    </row>
    <row r="75">
      <c r="C75" s="1"/>
      <c r="E75" s="2"/>
      <c r="F75" s="2"/>
    </row>
    <row r="76">
      <c r="C76" s="1"/>
      <c r="E76" s="2"/>
      <c r="F76" s="2"/>
    </row>
    <row r="77">
      <c r="C77" s="1"/>
      <c r="E77" s="2"/>
      <c r="F77" s="2"/>
    </row>
    <row r="78">
      <c r="C78" s="1"/>
      <c r="E78" s="2"/>
      <c r="F78" s="2"/>
    </row>
    <row r="79">
      <c r="C79" s="1"/>
      <c r="E79" s="2"/>
      <c r="F79" s="2"/>
    </row>
    <row r="80">
      <c r="C80" s="1"/>
      <c r="E80" s="2"/>
      <c r="F80" s="2"/>
    </row>
    <row r="81">
      <c r="C81" s="1"/>
      <c r="E81" s="2"/>
      <c r="F81" s="2"/>
    </row>
    <row r="82">
      <c r="C82" s="1"/>
      <c r="E82" s="2"/>
      <c r="F82" s="2"/>
    </row>
    <row r="83">
      <c r="C83" s="1"/>
      <c r="E83" s="2"/>
      <c r="F83" s="2"/>
    </row>
    <row r="84">
      <c r="C84" s="1"/>
      <c r="E84" s="2"/>
      <c r="F84" s="2"/>
    </row>
    <row r="85">
      <c r="C85" s="1"/>
      <c r="E85" s="2"/>
      <c r="F85" s="2"/>
    </row>
    <row r="86">
      <c r="C86" s="1"/>
      <c r="E86" s="2"/>
      <c r="F86" s="2"/>
    </row>
    <row r="87">
      <c r="C87" s="1"/>
      <c r="E87" s="2"/>
      <c r="F87" s="2"/>
    </row>
    <row r="88">
      <c r="C88" s="1"/>
      <c r="E88" s="2"/>
      <c r="F88" s="2"/>
    </row>
    <row r="89">
      <c r="C89" s="1"/>
      <c r="E89" s="2"/>
      <c r="F89" s="2"/>
    </row>
    <row r="90">
      <c r="C90" s="1"/>
      <c r="E90" s="2"/>
      <c r="F90" s="2"/>
    </row>
    <row r="91">
      <c r="C91" s="1"/>
      <c r="E91" s="2"/>
      <c r="F91" s="2"/>
    </row>
    <row r="92">
      <c r="C92" s="1"/>
      <c r="E92" s="2"/>
      <c r="F92" s="2"/>
    </row>
    <row r="93">
      <c r="C93" s="1"/>
      <c r="E93" s="2"/>
      <c r="F93" s="2"/>
    </row>
    <row r="94">
      <c r="C94" s="1"/>
      <c r="E94" s="2"/>
      <c r="F94" s="2"/>
    </row>
    <row r="95">
      <c r="C95" s="1"/>
      <c r="E95" s="2"/>
      <c r="F95" s="2"/>
    </row>
    <row r="96">
      <c r="C96" s="1"/>
      <c r="E96" s="2"/>
      <c r="F96" s="2"/>
    </row>
    <row r="97">
      <c r="C97" s="1"/>
      <c r="E97" s="2"/>
      <c r="F97" s="2"/>
    </row>
    <row r="98">
      <c r="C98" s="1"/>
      <c r="E98" s="2"/>
      <c r="F98" s="2"/>
    </row>
    <row r="99">
      <c r="C99" s="1"/>
      <c r="E99" s="2"/>
      <c r="F99" s="2"/>
    </row>
    <row r="100">
      <c r="C100" s="1"/>
      <c r="E100" s="2"/>
      <c r="F100" s="2"/>
    </row>
    <row r="101">
      <c r="C101" s="1"/>
      <c r="E101" s="2"/>
      <c r="F101" s="2"/>
    </row>
    <row r="102">
      <c r="C102" s="1"/>
      <c r="E102" s="2"/>
      <c r="F102" s="2"/>
    </row>
    <row r="103">
      <c r="C103" s="1"/>
      <c r="E103" s="2"/>
      <c r="F103" s="2"/>
    </row>
    <row r="104">
      <c r="C104" s="1"/>
      <c r="E104" s="2"/>
      <c r="F104" s="2"/>
    </row>
    <row r="105">
      <c r="C105" s="1"/>
      <c r="E105" s="2"/>
      <c r="F105" s="2"/>
    </row>
    <row r="106">
      <c r="C106" s="1"/>
      <c r="E106" s="2"/>
      <c r="F106" s="2"/>
    </row>
    <row r="107">
      <c r="C107" s="1"/>
      <c r="E107" s="2"/>
      <c r="F107" s="2"/>
    </row>
    <row r="108">
      <c r="C108" s="1"/>
      <c r="E108" s="2"/>
      <c r="F108" s="2"/>
    </row>
    <row r="109">
      <c r="C109" s="1"/>
      <c r="E109" s="2"/>
      <c r="F109" s="2"/>
    </row>
    <row r="110">
      <c r="C110" s="1"/>
      <c r="E110" s="2"/>
      <c r="F110" s="2"/>
    </row>
    <row r="111">
      <c r="C111" s="1"/>
      <c r="E111" s="2"/>
      <c r="F111" s="2"/>
    </row>
    <row r="112">
      <c r="C112" s="1"/>
      <c r="E112" s="2"/>
      <c r="F112" s="2"/>
    </row>
    <row r="113">
      <c r="C113" s="1"/>
      <c r="E113" s="2"/>
      <c r="F113" s="2"/>
    </row>
    <row r="114">
      <c r="C114" s="1"/>
      <c r="E114" s="2"/>
      <c r="F114" s="2"/>
    </row>
    <row r="115">
      <c r="C115" s="1"/>
      <c r="E115" s="2"/>
      <c r="F115" s="2"/>
    </row>
    <row r="116">
      <c r="C116" s="1"/>
      <c r="E116" s="2"/>
      <c r="F116" s="2"/>
    </row>
    <row r="117">
      <c r="C117" s="1"/>
      <c r="E117" s="2"/>
      <c r="F117" s="2"/>
    </row>
    <row r="118">
      <c r="C118" s="1"/>
      <c r="E118" s="2"/>
      <c r="F118" s="2"/>
    </row>
    <row r="119">
      <c r="C119" s="1"/>
      <c r="E119" s="2"/>
      <c r="F119" s="2"/>
    </row>
    <row r="120">
      <c r="C120" s="1"/>
      <c r="E120" s="2"/>
      <c r="F120" s="2"/>
    </row>
    <row r="121">
      <c r="C121" s="1"/>
      <c r="E121" s="2"/>
      <c r="F121" s="2"/>
    </row>
    <row r="122">
      <c r="C122" s="1"/>
      <c r="E122" s="2"/>
      <c r="F122" s="2"/>
    </row>
    <row r="123">
      <c r="C123" s="1"/>
      <c r="E123" s="2"/>
      <c r="F123" s="2"/>
    </row>
    <row r="124">
      <c r="C124" s="1"/>
      <c r="E124" s="2"/>
      <c r="F124" s="2"/>
    </row>
    <row r="125">
      <c r="C125" s="1"/>
      <c r="E125" s="2"/>
      <c r="F125" s="2"/>
    </row>
    <row r="126">
      <c r="C126" s="1"/>
      <c r="E126" s="2"/>
      <c r="F126" s="2"/>
    </row>
    <row r="127">
      <c r="C127" s="1"/>
      <c r="E127" s="2"/>
      <c r="F127" s="2"/>
    </row>
    <row r="128">
      <c r="C128" s="1"/>
      <c r="E128" s="2"/>
      <c r="F128" s="2"/>
    </row>
    <row r="129">
      <c r="C129" s="1"/>
      <c r="E129" s="2"/>
      <c r="F129" s="2"/>
    </row>
    <row r="130">
      <c r="C130" s="1"/>
      <c r="E130" s="2"/>
      <c r="F130" s="2"/>
    </row>
    <row r="131">
      <c r="C131" s="1"/>
      <c r="E131" s="2"/>
      <c r="F131" s="2"/>
    </row>
    <row r="132">
      <c r="C132" s="1"/>
      <c r="E132" s="2"/>
      <c r="F132" s="2"/>
    </row>
    <row r="133">
      <c r="C133" s="1"/>
      <c r="E133" s="2"/>
      <c r="F133" s="2"/>
    </row>
    <row r="134">
      <c r="C134" s="1"/>
      <c r="E134" s="2"/>
      <c r="F134" s="2"/>
    </row>
    <row r="135">
      <c r="C135" s="1"/>
      <c r="E135" s="2"/>
      <c r="F135" s="2"/>
    </row>
    <row r="136">
      <c r="C136" s="1"/>
      <c r="E136" s="2"/>
      <c r="F136" s="2"/>
    </row>
    <row r="137">
      <c r="C137" s="1"/>
      <c r="E137" s="2"/>
      <c r="F137" s="2"/>
    </row>
    <row r="138">
      <c r="C138" s="1"/>
      <c r="E138" s="2"/>
      <c r="F138" s="2"/>
    </row>
    <row r="139">
      <c r="C139" s="1"/>
      <c r="E139" s="2"/>
      <c r="F139" s="2"/>
    </row>
    <row r="140">
      <c r="C140" s="1"/>
      <c r="E140" s="2"/>
      <c r="F140" s="2"/>
    </row>
    <row r="141">
      <c r="C141" s="1"/>
      <c r="E141" s="2"/>
      <c r="F141" s="2"/>
    </row>
    <row r="142">
      <c r="C142" s="1"/>
      <c r="E142" s="2"/>
      <c r="F142" s="2"/>
    </row>
    <row r="143">
      <c r="C143" s="1"/>
      <c r="E143" s="2"/>
      <c r="F143" s="2"/>
    </row>
    <row r="144">
      <c r="C144" s="1"/>
      <c r="E144" s="2"/>
      <c r="F144" s="2"/>
    </row>
    <row r="145">
      <c r="C145" s="1"/>
      <c r="E145" s="2"/>
      <c r="F145" s="2"/>
    </row>
    <row r="146">
      <c r="C146" s="1"/>
      <c r="E146" s="2"/>
      <c r="F146" s="2"/>
    </row>
    <row r="147">
      <c r="C147" s="1"/>
      <c r="E147" s="2"/>
      <c r="F147" s="2"/>
    </row>
    <row r="148">
      <c r="C148" s="1"/>
      <c r="E148" s="2"/>
      <c r="F148" s="2"/>
    </row>
    <row r="149">
      <c r="C149" s="1"/>
      <c r="E149" s="2"/>
      <c r="F149" s="2"/>
    </row>
    <row r="150">
      <c r="C150" s="1"/>
      <c r="E150" s="2"/>
      <c r="F150" s="2"/>
    </row>
    <row r="151">
      <c r="C151" s="1"/>
      <c r="E151" s="2"/>
      <c r="F151" s="2"/>
    </row>
    <row r="152">
      <c r="C152" s="1"/>
      <c r="E152" s="2"/>
      <c r="F152" s="2"/>
    </row>
    <row r="153">
      <c r="C153" s="1"/>
      <c r="E153" s="2"/>
      <c r="F153" s="2"/>
    </row>
    <row r="154">
      <c r="C154" s="1"/>
      <c r="E154" s="2"/>
      <c r="F154" s="2"/>
    </row>
    <row r="155">
      <c r="C155" s="1"/>
      <c r="E155" s="2"/>
      <c r="F155" s="2"/>
    </row>
    <row r="156">
      <c r="C156" s="1"/>
      <c r="E156" s="2"/>
      <c r="F156" s="2"/>
    </row>
    <row r="157">
      <c r="C157" s="1"/>
      <c r="E157" s="2"/>
      <c r="F157" s="2"/>
    </row>
    <row r="158">
      <c r="C158" s="1"/>
      <c r="E158" s="2"/>
      <c r="F158" s="2"/>
    </row>
    <row r="159">
      <c r="C159" s="1"/>
      <c r="E159" s="2"/>
      <c r="F159" s="2"/>
    </row>
    <row r="160">
      <c r="C160" s="1"/>
      <c r="E160" s="2"/>
      <c r="F160" s="2"/>
    </row>
    <row r="161">
      <c r="C161" s="1"/>
      <c r="E161" s="2"/>
      <c r="F161" s="2"/>
    </row>
    <row r="162">
      <c r="C162" s="1"/>
      <c r="E162" s="2"/>
      <c r="F162" s="2"/>
    </row>
    <row r="163">
      <c r="C163" s="1"/>
      <c r="E163" s="2"/>
      <c r="F163" s="2"/>
    </row>
    <row r="164">
      <c r="C164" s="1"/>
      <c r="E164" s="2"/>
      <c r="F164" s="2"/>
    </row>
    <row r="165">
      <c r="C165" s="1"/>
      <c r="E165" s="2"/>
      <c r="F165" s="2"/>
    </row>
    <row r="166">
      <c r="C166" s="1"/>
      <c r="E166" s="2"/>
      <c r="F166" s="2"/>
    </row>
    <row r="167">
      <c r="C167" s="1"/>
      <c r="E167" s="2"/>
      <c r="F167" s="2"/>
    </row>
    <row r="168">
      <c r="C168" s="1"/>
      <c r="E168" s="2"/>
      <c r="F168" s="2"/>
    </row>
    <row r="169">
      <c r="C169" s="1"/>
      <c r="E169" s="2"/>
      <c r="F169" s="2"/>
    </row>
    <row r="170">
      <c r="C170" s="1"/>
      <c r="E170" s="2"/>
      <c r="F170" s="2"/>
    </row>
    <row r="171">
      <c r="C171" s="1"/>
      <c r="E171" s="2"/>
      <c r="F171" s="2"/>
    </row>
    <row r="172">
      <c r="C172" s="1"/>
      <c r="E172" s="2"/>
      <c r="F172" s="2"/>
    </row>
    <row r="173">
      <c r="C173" s="1"/>
      <c r="E173" s="2"/>
      <c r="F173" s="2"/>
    </row>
    <row r="174">
      <c r="C174" s="1"/>
      <c r="E174" s="2"/>
      <c r="F174" s="2"/>
    </row>
    <row r="175">
      <c r="C175" s="1"/>
      <c r="E175" s="2"/>
      <c r="F175" s="2"/>
    </row>
    <row r="176">
      <c r="C176" s="1"/>
      <c r="E176" s="2"/>
      <c r="F176" s="2"/>
    </row>
    <row r="177">
      <c r="C177" s="1"/>
      <c r="E177" s="2"/>
      <c r="F177" s="2"/>
    </row>
    <row r="178">
      <c r="C178" s="1"/>
      <c r="E178" s="2"/>
      <c r="F178" s="2"/>
    </row>
    <row r="179">
      <c r="C179" s="1"/>
      <c r="E179" s="2"/>
      <c r="F179" s="2"/>
    </row>
    <row r="180">
      <c r="C180" s="1"/>
      <c r="E180" s="2"/>
      <c r="F180" s="2"/>
    </row>
    <row r="181">
      <c r="C181" s="1"/>
      <c r="E181" s="2"/>
      <c r="F181" s="2"/>
    </row>
    <row r="182">
      <c r="C182" s="1"/>
      <c r="E182" s="2"/>
      <c r="F182" s="2"/>
    </row>
    <row r="183">
      <c r="C183" s="1"/>
      <c r="E183" s="2"/>
      <c r="F183" s="2"/>
    </row>
    <row r="184">
      <c r="C184" s="1"/>
      <c r="E184" s="2"/>
      <c r="F184" s="2"/>
    </row>
    <row r="185">
      <c r="C185" s="1"/>
      <c r="E185" s="2"/>
      <c r="F185" s="2"/>
    </row>
    <row r="186">
      <c r="C186" s="1"/>
      <c r="E186" s="2"/>
      <c r="F186" s="2"/>
    </row>
    <row r="187">
      <c r="C187" s="1"/>
      <c r="E187" s="2"/>
      <c r="F187" s="2"/>
    </row>
    <row r="188">
      <c r="C188" s="1"/>
      <c r="E188" s="2"/>
      <c r="F188" s="2"/>
    </row>
    <row r="189">
      <c r="C189" s="1"/>
      <c r="E189" s="2"/>
      <c r="F189" s="2"/>
    </row>
    <row r="190">
      <c r="C190" s="1"/>
      <c r="E190" s="2"/>
      <c r="F190" s="2"/>
    </row>
    <row r="191">
      <c r="C191" s="1"/>
      <c r="E191" s="2"/>
      <c r="F191" s="2"/>
    </row>
    <row r="192">
      <c r="C192" s="1"/>
      <c r="E192" s="2"/>
      <c r="F192" s="2"/>
    </row>
    <row r="193">
      <c r="C193" s="1"/>
      <c r="E193" s="2"/>
      <c r="F193" s="2"/>
    </row>
    <row r="194">
      <c r="C194" s="1"/>
      <c r="E194" s="2"/>
      <c r="F194" s="2"/>
    </row>
    <row r="195">
      <c r="C195" s="1"/>
      <c r="E195" s="2"/>
      <c r="F195" s="2"/>
    </row>
    <row r="196">
      <c r="C196" s="1"/>
      <c r="E196" s="2"/>
      <c r="F196" s="2"/>
    </row>
    <row r="197">
      <c r="C197" s="1"/>
      <c r="E197" s="2"/>
      <c r="F197" s="2"/>
    </row>
    <row r="198">
      <c r="C198" s="1"/>
      <c r="E198" s="2"/>
      <c r="F198" s="2"/>
    </row>
    <row r="199">
      <c r="C199" s="1"/>
      <c r="E199" s="2"/>
      <c r="F199" s="2"/>
    </row>
    <row r="200">
      <c r="C200" s="1"/>
      <c r="E200" s="2"/>
      <c r="F200" s="2"/>
    </row>
    <row r="201">
      <c r="C201" s="1"/>
      <c r="E201" s="2"/>
      <c r="F201" s="2"/>
    </row>
    <row r="202">
      <c r="C202" s="1"/>
      <c r="E202" s="2"/>
      <c r="F202" s="2"/>
    </row>
    <row r="203">
      <c r="C203" s="1"/>
      <c r="E203" s="2"/>
      <c r="F203" s="2"/>
    </row>
    <row r="204">
      <c r="C204" s="1"/>
      <c r="E204" s="2"/>
      <c r="F204" s="2"/>
    </row>
    <row r="205">
      <c r="C205" s="1"/>
      <c r="E205" s="2"/>
      <c r="F205" s="2"/>
    </row>
    <row r="206">
      <c r="C206" s="1"/>
      <c r="E206" s="2"/>
      <c r="F206" s="2"/>
    </row>
    <row r="207">
      <c r="C207" s="1"/>
      <c r="E207" s="2"/>
      <c r="F207" s="2"/>
    </row>
    <row r="208">
      <c r="C208" s="1"/>
      <c r="E208" s="2"/>
      <c r="F208" s="2"/>
    </row>
    <row r="209">
      <c r="C209" s="1"/>
      <c r="E209" s="2"/>
      <c r="F209" s="2"/>
    </row>
    <row r="210">
      <c r="C210" s="1"/>
      <c r="E210" s="2"/>
      <c r="F210" s="2"/>
    </row>
    <row r="211">
      <c r="C211" s="1"/>
      <c r="E211" s="2"/>
      <c r="F211" s="2"/>
    </row>
    <row r="212">
      <c r="C212" s="1"/>
      <c r="E212" s="2"/>
      <c r="F212" s="2"/>
    </row>
    <row r="213">
      <c r="C213" s="1"/>
      <c r="E213" s="2"/>
      <c r="F213" s="2"/>
    </row>
    <row r="214">
      <c r="C214" s="1"/>
      <c r="E214" s="2"/>
      <c r="F214" s="2"/>
    </row>
    <row r="215">
      <c r="C215" s="1"/>
      <c r="E215" s="2"/>
      <c r="F215" s="2"/>
    </row>
    <row r="216">
      <c r="C216" s="1"/>
      <c r="E216" s="2"/>
      <c r="F216" s="2"/>
    </row>
    <row r="217">
      <c r="C217" s="1"/>
      <c r="E217" s="2"/>
      <c r="F217" s="2"/>
    </row>
    <row r="218">
      <c r="C218" s="1"/>
      <c r="E218" s="2"/>
      <c r="F218" s="2"/>
    </row>
    <row r="219">
      <c r="C219" s="1"/>
      <c r="E219" s="2"/>
      <c r="F219" s="2"/>
    </row>
    <row r="220">
      <c r="C220" s="1"/>
      <c r="E220" s="2"/>
      <c r="F220" s="2"/>
    </row>
    <row r="221">
      <c r="C221" s="1"/>
      <c r="E221" s="2"/>
      <c r="F221" s="2"/>
    </row>
    <row r="222">
      <c r="C222" s="1"/>
      <c r="E222" s="2"/>
      <c r="F222" s="2"/>
    </row>
    <row r="223">
      <c r="C223" s="1"/>
      <c r="E223" s="2"/>
      <c r="F223" s="2"/>
    </row>
    <row r="224">
      <c r="C224" s="1"/>
      <c r="E224" s="2"/>
      <c r="F224" s="2"/>
    </row>
    <row r="225">
      <c r="C225" s="1"/>
      <c r="E225" s="2"/>
      <c r="F225" s="2"/>
    </row>
    <row r="226">
      <c r="C226" s="1"/>
      <c r="E226" s="2"/>
      <c r="F226" s="2"/>
    </row>
    <row r="227">
      <c r="C227" s="1"/>
      <c r="E227" s="2"/>
      <c r="F227" s="2"/>
    </row>
    <row r="228">
      <c r="C228" s="1"/>
      <c r="E228" s="2"/>
      <c r="F228" s="2"/>
    </row>
    <row r="229">
      <c r="C229" s="1"/>
      <c r="E229" s="2"/>
      <c r="F229" s="2"/>
    </row>
    <row r="230">
      <c r="C230" s="1"/>
      <c r="E230" s="2"/>
      <c r="F230" s="2"/>
    </row>
    <row r="231">
      <c r="C231" s="1"/>
      <c r="E231" s="2"/>
      <c r="F231" s="2"/>
    </row>
    <row r="232">
      <c r="C232" s="1"/>
      <c r="E232" s="2"/>
      <c r="F232" s="2"/>
    </row>
    <row r="233">
      <c r="C233" s="1"/>
      <c r="E233" s="2"/>
      <c r="F233" s="2"/>
    </row>
    <row r="234">
      <c r="C234" s="1"/>
      <c r="E234" s="2"/>
      <c r="F234" s="2"/>
    </row>
    <row r="235">
      <c r="C235" s="1"/>
      <c r="E235" s="2"/>
      <c r="F235" s="2"/>
    </row>
    <row r="236">
      <c r="C236" s="1"/>
      <c r="E236" s="2"/>
      <c r="F236" s="2"/>
    </row>
    <row r="237">
      <c r="C237" s="1"/>
      <c r="E237" s="2"/>
      <c r="F237" s="2"/>
    </row>
    <row r="238">
      <c r="C238" s="1"/>
      <c r="E238" s="2"/>
      <c r="F238" s="2"/>
    </row>
    <row r="239">
      <c r="C239" s="1"/>
      <c r="E239" s="2"/>
      <c r="F239" s="2"/>
    </row>
    <row r="240">
      <c r="C240" s="1"/>
      <c r="E240" s="2"/>
      <c r="F240" s="2"/>
    </row>
    <row r="241">
      <c r="C241" s="1"/>
      <c r="E241" s="2"/>
      <c r="F241" s="2"/>
    </row>
    <row r="242">
      <c r="C242" s="1"/>
      <c r="E242" s="2"/>
      <c r="F242" s="2"/>
    </row>
    <row r="243">
      <c r="C243" s="1"/>
      <c r="E243" s="2"/>
      <c r="F243" s="2"/>
    </row>
    <row r="244">
      <c r="C244" s="1"/>
      <c r="E244" s="2"/>
      <c r="F244" s="2"/>
    </row>
    <row r="245">
      <c r="C245" s="1"/>
      <c r="E245" s="2"/>
      <c r="F245" s="2"/>
    </row>
    <row r="246">
      <c r="C246" s="1"/>
      <c r="E246" s="2"/>
      <c r="F246" s="2"/>
    </row>
    <row r="247">
      <c r="C247" s="1"/>
      <c r="E247" s="2"/>
      <c r="F247" s="2"/>
    </row>
    <row r="248">
      <c r="C248" s="1"/>
      <c r="E248" s="2"/>
      <c r="F248" s="2"/>
    </row>
    <row r="249">
      <c r="C249" s="1"/>
      <c r="E249" s="2"/>
      <c r="F249" s="2"/>
    </row>
    <row r="250">
      <c r="C250" s="1"/>
      <c r="E250" s="2"/>
      <c r="F250" s="2"/>
    </row>
    <row r="251">
      <c r="C251" s="1"/>
      <c r="E251" s="2"/>
      <c r="F251" s="2"/>
    </row>
    <row r="252">
      <c r="C252" s="1"/>
      <c r="E252" s="2"/>
      <c r="F252" s="2"/>
    </row>
    <row r="253">
      <c r="C253" s="1"/>
      <c r="E253" s="2"/>
      <c r="F253" s="2"/>
    </row>
    <row r="254">
      <c r="C254" s="1"/>
      <c r="E254" s="2"/>
      <c r="F254" s="2"/>
    </row>
    <row r="255">
      <c r="C255" s="1"/>
      <c r="E255" s="2"/>
      <c r="F255" s="2"/>
    </row>
    <row r="256">
      <c r="C256" s="1"/>
      <c r="E256" s="2"/>
      <c r="F256" s="2"/>
    </row>
    <row r="257">
      <c r="C257" s="1"/>
      <c r="E257" s="2"/>
      <c r="F257" s="2"/>
    </row>
    <row r="258">
      <c r="C258" s="1"/>
      <c r="E258" s="2"/>
      <c r="F258" s="2"/>
    </row>
    <row r="259">
      <c r="C259" s="1"/>
      <c r="E259" s="2"/>
      <c r="F259" s="2"/>
    </row>
    <row r="260">
      <c r="C260" s="1"/>
      <c r="E260" s="2"/>
      <c r="F260" s="2"/>
    </row>
    <row r="261">
      <c r="C261" s="1"/>
      <c r="E261" s="2"/>
      <c r="F261" s="2"/>
    </row>
    <row r="262">
      <c r="C262" s="1"/>
      <c r="E262" s="2"/>
      <c r="F262" s="2"/>
    </row>
    <row r="263">
      <c r="C263" s="1"/>
      <c r="E263" s="2"/>
      <c r="F263" s="2"/>
    </row>
    <row r="264">
      <c r="C264" s="1"/>
      <c r="E264" s="2"/>
      <c r="F264" s="2"/>
    </row>
    <row r="265">
      <c r="C265" s="1"/>
      <c r="E265" s="2"/>
      <c r="F265" s="2"/>
    </row>
    <row r="266">
      <c r="C266" s="1"/>
      <c r="E266" s="2"/>
      <c r="F266" s="2"/>
    </row>
    <row r="267">
      <c r="C267" s="1"/>
      <c r="E267" s="2"/>
      <c r="F267" s="2"/>
    </row>
    <row r="268">
      <c r="C268" s="1"/>
      <c r="E268" s="2"/>
      <c r="F268" s="2"/>
    </row>
    <row r="269">
      <c r="C269" s="1"/>
      <c r="E269" s="2"/>
      <c r="F269" s="2"/>
    </row>
    <row r="270">
      <c r="C270" s="1"/>
      <c r="E270" s="2"/>
      <c r="F270" s="2"/>
    </row>
    <row r="271">
      <c r="C271" s="1"/>
      <c r="E271" s="2"/>
      <c r="F271" s="2"/>
    </row>
    <row r="272">
      <c r="C272" s="1"/>
      <c r="E272" s="2"/>
      <c r="F272" s="2"/>
    </row>
    <row r="273">
      <c r="C273" s="1"/>
      <c r="E273" s="2"/>
      <c r="F273" s="2"/>
    </row>
    <row r="274">
      <c r="C274" s="1"/>
      <c r="E274" s="2"/>
      <c r="F274" s="2"/>
    </row>
    <row r="275">
      <c r="C275" s="1"/>
      <c r="E275" s="2"/>
      <c r="F275" s="2"/>
    </row>
    <row r="276">
      <c r="C276" s="1"/>
      <c r="E276" s="2"/>
      <c r="F276" s="2"/>
    </row>
    <row r="277">
      <c r="C277" s="1"/>
      <c r="E277" s="2"/>
      <c r="F277" s="2"/>
    </row>
    <row r="278">
      <c r="C278" s="1"/>
      <c r="E278" s="2"/>
      <c r="F278" s="2"/>
    </row>
    <row r="279">
      <c r="C279" s="1"/>
      <c r="E279" s="2"/>
      <c r="F279" s="2"/>
    </row>
    <row r="280">
      <c r="C280" s="1"/>
      <c r="E280" s="2"/>
      <c r="F280" s="2"/>
    </row>
    <row r="281">
      <c r="C281" s="1"/>
      <c r="E281" s="2"/>
      <c r="F281" s="2"/>
    </row>
    <row r="282">
      <c r="C282" s="1"/>
      <c r="E282" s="2"/>
      <c r="F282" s="2"/>
    </row>
    <row r="283">
      <c r="C283" s="1"/>
      <c r="E283" s="2"/>
      <c r="F283" s="2"/>
    </row>
    <row r="284">
      <c r="C284" s="1"/>
      <c r="E284" s="2"/>
      <c r="F284" s="2"/>
    </row>
    <row r="285">
      <c r="C285" s="1"/>
      <c r="E285" s="2"/>
      <c r="F285" s="2"/>
    </row>
    <row r="286">
      <c r="C286" s="1"/>
      <c r="E286" s="2"/>
      <c r="F286" s="2"/>
    </row>
    <row r="287">
      <c r="C287" s="1"/>
      <c r="E287" s="2"/>
      <c r="F287" s="2"/>
    </row>
    <row r="288">
      <c r="C288" s="1"/>
      <c r="E288" s="2"/>
      <c r="F288" s="2"/>
    </row>
    <row r="289">
      <c r="C289" s="1"/>
      <c r="E289" s="2"/>
      <c r="F289" s="2"/>
    </row>
    <row r="290">
      <c r="C290" s="1"/>
      <c r="E290" s="2"/>
      <c r="F290" s="2"/>
    </row>
    <row r="291">
      <c r="C291" s="1"/>
      <c r="E291" s="2"/>
      <c r="F291" s="2"/>
    </row>
    <row r="292">
      <c r="C292" s="1"/>
      <c r="E292" s="2"/>
      <c r="F292" s="2"/>
    </row>
    <row r="293">
      <c r="C293" s="1"/>
      <c r="E293" s="2"/>
      <c r="F293" s="2"/>
    </row>
    <row r="294">
      <c r="C294" s="1"/>
      <c r="E294" s="2"/>
      <c r="F294" s="2"/>
    </row>
    <row r="295">
      <c r="C295" s="1"/>
      <c r="E295" s="2"/>
      <c r="F295" s="2"/>
    </row>
    <row r="296">
      <c r="C296" s="1"/>
      <c r="E296" s="2"/>
      <c r="F296" s="2"/>
    </row>
    <row r="297">
      <c r="C297" s="1"/>
      <c r="E297" s="2"/>
      <c r="F297" s="2"/>
    </row>
    <row r="298">
      <c r="C298" s="1"/>
      <c r="E298" s="2"/>
      <c r="F298" s="2"/>
    </row>
    <row r="299">
      <c r="C299" s="1"/>
      <c r="E299" s="2"/>
      <c r="F299" s="2"/>
    </row>
    <row r="300">
      <c r="C300" s="1"/>
      <c r="E300" s="2"/>
      <c r="F300" s="2"/>
    </row>
    <row r="301">
      <c r="C301" s="1"/>
      <c r="E301" s="2"/>
      <c r="F301" s="2"/>
    </row>
    <row r="302">
      <c r="C302" s="1"/>
      <c r="E302" s="2"/>
      <c r="F302" s="2"/>
    </row>
    <row r="303">
      <c r="C303" s="1"/>
      <c r="E303" s="2"/>
      <c r="F303" s="2"/>
    </row>
    <row r="304">
      <c r="C304" s="1"/>
      <c r="E304" s="2"/>
      <c r="F304" s="2"/>
    </row>
    <row r="305">
      <c r="C305" s="1"/>
      <c r="E305" s="2"/>
      <c r="F305" s="2"/>
    </row>
    <row r="306">
      <c r="C306" s="1"/>
      <c r="E306" s="2"/>
      <c r="F306" s="2"/>
    </row>
    <row r="307">
      <c r="C307" s="1"/>
      <c r="E307" s="2"/>
      <c r="F307" s="2"/>
    </row>
    <row r="308">
      <c r="C308" s="1"/>
      <c r="E308" s="2"/>
      <c r="F308" s="2"/>
    </row>
    <row r="309">
      <c r="C309" s="1"/>
      <c r="E309" s="2"/>
      <c r="F309" s="2"/>
    </row>
    <row r="310">
      <c r="C310" s="1"/>
      <c r="E310" s="2"/>
      <c r="F310" s="2"/>
    </row>
    <row r="311">
      <c r="C311" s="1"/>
      <c r="E311" s="2"/>
      <c r="F311" s="2"/>
    </row>
    <row r="312">
      <c r="C312" s="1"/>
      <c r="E312" s="2"/>
      <c r="F312" s="2"/>
    </row>
    <row r="313">
      <c r="C313" s="1"/>
      <c r="E313" s="2"/>
      <c r="F313" s="2"/>
    </row>
    <row r="314">
      <c r="C314" s="1"/>
      <c r="E314" s="2"/>
      <c r="F314" s="2"/>
    </row>
    <row r="315">
      <c r="C315" s="1"/>
      <c r="E315" s="2"/>
      <c r="F315" s="2"/>
    </row>
    <row r="316">
      <c r="C316" s="1"/>
      <c r="E316" s="2"/>
      <c r="F316" s="2"/>
    </row>
    <row r="317">
      <c r="C317" s="1"/>
      <c r="E317" s="2"/>
      <c r="F317" s="2"/>
    </row>
    <row r="318">
      <c r="C318" s="1"/>
      <c r="E318" s="2"/>
      <c r="F318" s="2"/>
    </row>
    <row r="319">
      <c r="C319" s="1"/>
      <c r="E319" s="2"/>
      <c r="F319" s="2"/>
    </row>
    <row r="320">
      <c r="C320" s="1"/>
      <c r="E320" s="2"/>
      <c r="F320" s="2"/>
    </row>
    <row r="321">
      <c r="C321" s="1"/>
      <c r="E321" s="2"/>
      <c r="F321" s="2"/>
    </row>
    <row r="322">
      <c r="C322" s="1"/>
      <c r="E322" s="2"/>
      <c r="F322" s="2"/>
    </row>
    <row r="323">
      <c r="C323" s="1"/>
      <c r="E323" s="2"/>
      <c r="F323" s="2"/>
    </row>
    <row r="324">
      <c r="C324" s="1"/>
      <c r="E324" s="2"/>
      <c r="F324" s="2"/>
    </row>
    <row r="325">
      <c r="C325" s="1"/>
      <c r="E325" s="2"/>
      <c r="F325" s="2"/>
    </row>
    <row r="326">
      <c r="C326" s="1"/>
      <c r="E326" s="2"/>
      <c r="F326" s="2"/>
    </row>
    <row r="327">
      <c r="C327" s="1"/>
      <c r="E327" s="2"/>
      <c r="F327" s="2"/>
    </row>
    <row r="328">
      <c r="C328" s="1"/>
      <c r="E328" s="2"/>
      <c r="F328" s="2"/>
    </row>
    <row r="329">
      <c r="C329" s="1"/>
      <c r="E329" s="2"/>
      <c r="F329" s="2"/>
    </row>
    <row r="330">
      <c r="C330" s="1"/>
      <c r="E330" s="2"/>
      <c r="F330" s="2"/>
    </row>
    <row r="331">
      <c r="C331" s="1"/>
      <c r="E331" s="2"/>
      <c r="F331" s="2"/>
    </row>
    <row r="332">
      <c r="C332" s="1"/>
      <c r="E332" s="2"/>
      <c r="F332" s="2"/>
    </row>
    <row r="333">
      <c r="C333" s="1"/>
      <c r="E333" s="2"/>
      <c r="F333" s="2"/>
    </row>
    <row r="334">
      <c r="C334" s="1"/>
      <c r="E334" s="2"/>
      <c r="F334" s="2"/>
    </row>
    <row r="335">
      <c r="C335" s="1"/>
      <c r="E335" s="2"/>
      <c r="F335" s="2"/>
    </row>
    <row r="336">
      <c r="C336" s="1"/>
      <c r="E336" s="2"/>
      <c r="F336" s="2"/>
    </row>
    <row r="337">
      <c r="C337" s="1"/>
      <c r="E337" s="2"/>
      <c r="F337" s="2"/>
    </row>
    <row r="338">
      <c r="C338" s="1"/>
      <c r="E338" s="2"/>
      <c r="F338" s="2"/>
    </row>
    <row r="339">
      <c r="C339" s="1"/>
      <c r="E339" s="2"/>
      <c r="F339" s="2"/>
    </row>
    <row r="340">
      <c r="C340" s="1"/>
      <c r="E340" s="2"/>
      <c r="F340" s="2"/>
    </row>
    <row r="341">
      <c r="C341" s="1"/>
      <c r="E341" s="2"/>
      <c r="F341" s="2"/>
    </row>
    <row r="342">
      <c r="C342" s="1"/>
      <c r="E342" s="2"/>
      <c r="F342" s="2"/>
    </row>
    <row r="343">
      <c r="C343" s="1"/>
      <c r="E343" s="2"/>
      <c r="F343" s="2"/>
    </row>
    <row r="344">
      <c r="C344" s="1"/>
      <c r="E344" s="2"/>
      <c r="F344" s="2"/>
    </row>
    <row r="345">
      <c r="C345" s="1"/>
      <c r="E345" s="2"/>
      <c r="F345" s="2"/>
    </row>
    <row r="346">
      <c r="C346" s="1"/>
      <c r="E346" s="2"/>
      <c r="F346" s="2"/>
    </row>
    <row r="347">
      <c r="C347" s="1"/>
      <c r="E347" s="2"/>
      <c r="F347" s="2"/>
    </row>
    <row r="348">
      <c r="C348" s="1"/>
      <c r="E348" s="2"/>
      <c r="F348" s="2"/>
    </row>
    <row r="349">
      <c r="C349" s="1"/>
      <c r="E349" s="2"/>
      <c r="F349" s="2"/>
    </row>
    <row r="350">
      <c r="C350" s="1"/>
      <c r="E350" s="2"/>
      <c r="F350" s="2"/>
    </row>
    <row r="351">
      <c r="C351" s="1"/>
      <c r="E351" s="2"/>
      <c r="F351" s="2"/>
    </row>
    <row r="352">
      <c r="C352" s="1"/>
      <c r="E352" s="2"/>
      <c r="F352" s="2"/>
    </row>
    <row r="353">
      <c r="C353" s="1"/>
      <c r="E353" s="2"/>
      <c r="F353" s="2"/>
    </row>
    <row r="354">
      <c r="C354" s="1"/>
      <c r="E354" s="2"/>
      <c r="F354" s="2"/>
    </row>
    <row r="355">
      <c r="C355" s="1"/>
      <c r="E355" s="2"/>
      <c r="F355" s="2"/>
    </row>
    <row r="356">
      <c r="C356" s="1"/>
      <c r="E356" s="2"/>
      <c r="F356" s="2"/>
    </row>
    <row r="357">
      <c r="C357" s="1"/>
      <c r="E357" s="2"/>
      <c r="F357" s="2"/>
    </row>
    <row r="358">
      <c r="C358" s="1"/>
      <c r="E358" s="2"/>
      <c r="F358" s="2"/>
    </row>
    <row r="359">
      <c r="C359" s="1"/>
      <c r="E359" s="2"/>
      <c r="F359" s="2"/>
    </row>
    <row r="360">
      <c r="C360" s="1"/>
      <c r="E360" s="2"/>
      <c r="F360" s="2"/>
    </row>
    <row r="361">
      <c r="C361" s="1"/>
      <c r="E361" s="2"/>
      <c r="F361" s="2"/>
    </row>
    <row r="362">
      <c r="C362" s="1"/>
      <c r="E362" s="2"/>
      <c r="F362" s="2"/>
    </row>
    <row r="363">
      <c r="C363" s="1"/>
      <c r="E363" s="2"/>
      <c r="F363" s="2"/>
    </row>
    <row r="364">
      <c r="C364" s="1"/>
      <c r="E364" s="2"/>
      <c r="F364" s="2"/>
    </row>
    <row r="365">
      <c r="C365" s="1"/>
      <c r="E365" s="2"/>
      <c r="F365" s="2"/>
    </row>
    <row r="366">
      <c r="C366" s="1"/>
      <c r="E366" s="2"/>
      <c r="F366" s="2"/>
    </row>
    <row r="367">
      <c r="C367" s="1"/>
      <c r="E367" s="2"/>
      <c r="F367" s="2"/>
    </row>
    <row r="368">
      <c r="C368" s="1"/>
      <c r="E368" s="2"/>
      <c r="F368" s="2"/>
    </row>
    <row r="369">
      <c r="C369" s="1"/>
      <c r="E369" s="2"/>
      <c r="F369" s="2"/>
    </row>
    <row r="370">
      <c r="C370" s="1"/>
      <c r="E370" s="2"/>
      <c r="F370" s="2"/>
    </row>
    <row r="371">
      <c r="C371" s="1"/>
      <c r="E371" s="2"/>
      <c r="F371" s="2"/>
    </row>
    <row r="372">
      <c r="C372" s="1"/>
      <c r="E372" s="2"/>
      <c r="F372" s="2"/>
    </row>
    <row r="373">
      <c r="C373" s="1"/>
      <c r="E373" s="2"/>
      <c r="F373" s="2"/>
    </row>
    <row r="374">
      <c r="C374" s="1"/>
      <c r="E374" s="2"/>
      <c r="F374" s="2"/>
    </row>
    <row r="375">
      <c r="C375" s="1"/>
      <c r="E375" s="2"/>
      <c r="F375" s="2"/>
    </row>
    <row r="376">
      <c r="C376" s="1"/>
      <c r="E376" s="2"/>
      <c r="F376" s="2"/>
    </row>
    <row r="377">
      <c r="C377" s="1"/>
      <c r="E377" s="2"/>
      <c r="F377" s="2"/>
    </row>
    <row r="378">
      <c r="C378" s="1"/>
      <c r="E378" s="2"/>
      <c r="F378" s="2"/>
    </row>
    <row r="379">
      <c r="C379" s="1"/>
      <c r="E379" s="2"/>
      <c r="F379" s="2"/>
    </row>
    <row r="380">
      <c r="C380" s="1"/>
      <c r="E380" s="2"/>
      <c r="F380" s="2"/>
    </row>
    <row r="381">
      <c r="C381" s="1"/>
      <c r="E381" s="2"/>
      <c r="F381" s="2"/>
    </row>
    <row r="382">
      <c r="C382" s="1"/>
      <c r="E382" s="2"/>
      <c r="F382" s="2"/>
    </row>
    <row r="383">
      <c r="C383" s="1"/>
      <c r="E383" s="2"/>
      <c r="F383" s="2"/>
    </row>
    <row r="384">
      <c r="C384" s="1"/>
      <c r="E384" s="2"/>
      <c r="F384" s="2"/>
    </row>
    <row r="385">
      <c r="C385" s="1"/>
      <c r="E385" s="2"/>
      <c r="F385" s="2"/>
    </row>
    <row r="386">
      <c r="C386" s="1"/>
      <c r="E386" s="2"/>
      <c r="F386" s="2"/>
    </row>
    <row r="387">
      <c r="C387" s="1"/>
      <c r="E387" s="2"/>
      <c r="F387" s="2"/>
    </row>
    <row r="388">
      <c r="C388" s="1"/>
      <c r="E388" s="2"/>
      <c r="F388" s="2"/>
    </row>
    <row r="389">
      <c r="C389" s="1"/>
      <c r="E389" s="2"/>
      <c r="F389" s="2"/>
    </row>
    <row r="390">
      <c r="C390" s="1"/>
      <c r="E390" s="2"/>
      <c r="F390" s="2"/>
    </row>
    <row r="391">
      <c r="C391" s="1"/>
      <c r="E391" s="2"/>
      <c r="F391" s="2"/>
    </row>
    <row r="392">
      <c r="C392" s="1"/>
      <c r="E392" s="2"/>
      <c r="F392" s="2"/>
    </row>
    <row r="393">
      <c r="C393" s="1"/>
      <c r="E393" s="2"/>
      <c r="F393" s="2"/>
    </row>
    <row r="394">
      <c r="C394" s="1"/>
      <c r="E394" s="2"/>
      <c r="F394" s="2"/>
    </row>
    <row r="395">
      <c r="C395" s="1"/>
      <c r="E395" s="2"/>
      <c r="F395" s="2"/>
    </row>
    <row r="396">
      <c r="C396" s="1"/>
      <c r="E396" s="2"/>
      <c r="F396" s="2"/>
    </row>
    <row r="397">
      <c r="C397" s="1"/>
      <c r="E397" s="2"/>
      <c r="F397" s="2"/>
    </row>
    <row r="398">
      <c r="C398" s="1"/>
      <c r="E398" s="2"/>
      <c r="F398" s="2"/>
    </row>
    <row r="399">
      <c r="C399" s="1"/>
      <c r="E399" s="2"/>
      <c r="F399" s="2"/>
    </row>
    <row r="400">
      <c r="C400" s="1"/>
      <c r="E400" s="2"/>
      <c r="F400" s="2"/>
    </row>
    <row r="401">
      <c r="C401" s="1"/>
      <c r="E401" s="2"/>
      <c r="F401" s="2"/>
    </row>
    <row r="402">
      <c r="C402" s="1"/>
      <c r="E402" s="2"/>
      <c r="F402" s="2"/>
    </row>
    <row r="403">
      <c r="C403" s="1"/>
      <c r="E403" s="2"/>
      <c r="F403" s="2"/>
    </row>
    <row r="404">
      <c r="C404" s="1"/>
      <c r="E404" s="2"/>
      <c r="F404" s="2"/>
    </row>
    <row r="405">
      <c r="C405" s="1"/>
      <c r="E405" s="2"/>
      <c r="F405" s="2"/>
    </row>
    <row r="406">
      <c r="C406" s="1"/>
      <c r="E406" s="2"/>
      <c r="F406" s="2"/>
    </row>
    <row r="407">
      <c r="C407" s="1"/>
      <c r="E407" s="2"/>
      <c r="F407" s="2"/>
    </row>
    <row r="408">
      <c r="C408" s="1"/>
      <c r="E408" s="2"/>
      <c r="F408" s="2"/>
    </row>
    <row r="409">
      <c r="C409" s="1"/>
      <c r="E409" s="2"/>
      <c r="F409" s="2"/>
    </row>
    <row r="410">
      <c r="C410" s="1"/>
      <c r="E410" s="2"/>
      <c r="F410" s="2"/>
    </row>
    <row r="411">
      <c r="C411" s="1"/>
      <c r="E411" s="2"/>
      <c r="F411" s="2"/>
    </row>
    <row r="412">
      <c r="C412" s="1"/>
      <c r="E412" s="2"/>
      <c r="F412" s="2"/>
    </row>
    <row r="413">
      <c r="C413" s="1"/>
      <c r="E413" s="2"/>
      <c r="F413" s="2"/>
    </row>
    <row r="414">
      <c r="C414" s="1"/>
      <c r="E414" s="2"/>
      <c r="F414" s="2"/>
    </row>
    <row r="415">
      <c r="C415" s="1"/>
      <c r="E415" s="2"/>
      <c r="F415" s="2"/>
    </row>
    <row r="416">
      <c r="C416" s="1"/>
      <c r="E416" s="2"/>
      <c r="F416" s="2"/>
    </row>
    <row r="417">
      <c r="C417" s="1"/>
      <c r="E417" s="2"/>
      <c r="F417" s="2"/>
    </row>
    <row r="418">
      <c r="C418" s="1"/>
      <c r="E418" s="2"/>
      <c r="F418" s="2"/>
    </row>
    <row r="419">
      <c r="C419" s="1"/>
      <c r="E419" s="2"/>
      <c r="F419" s="2"/>
    </row>
    <row r="420">
      <c r="C420" s="1"/>
      <c r="E420" s="2"/>
      <c r="F420" s="2"/>
    </row>
    <row r="421">
      <c r="C421" s="1"/>
      <c r="E421" s="2"/>
      <c r="F421" s="2"/>
    </row>
    <row r="422">
      <c r="C422" s="1"/>
      <c r="E422" s="2"/>
      <c r="F422" s="2"/>
    </row>
    <row r="423">
      <c r="C423" s="1"/>
      <c r="E423" s="2"/>
      <c r="F423" s="2"/>
    </row>
    <row r="424">
      <c r="C424" s="1"/>
      <c r="E424" s="2"/>
      <c r="F424" s="2"/>
    </row>
    <row r="425">
      <c r="C425" s="1"/>
      <c r="E425" s="2"/>
      <c r="F425" s="2"/>
    </row>
    <row r="426">
      <c r="C426" s="1"/>
      <c r="E426" s="2"/>
      <c r="F426" s="2"/>
    </row>
    <row r="427">
      <c r="C427" s="1"/>
      <c r="E427" s="2"/>
      <c r="F427" s="2"/>
    </row>
    <row r="428">
      <c r="C428" s="1"/>
      <c r="E428" s="2"/>
      <c r="F428" s="2"/>
    </row>
    <row r="429">
      <c r="C429" s="1"/>
      <c r="E429" s="2"/>
      <c r="F429" s="2"/>
    </row>
    <row r="430">
      <c r="C430" s="1"/>
      <c r="E430" s="2"/>
      <c r="F430" s="2"/>
    </row>
    <row r="431">
      <c r="C431" s="1"/>
      <c r="E431" s="2"/>
      <c r="F431" s="2"/>
    </row>
    <row r="432">
      <c r="C432" s="1"/>
      <c r="E432" s="2"/>
      <c r="F432" s="2"/>
    </row>
    <row r="433">
      <c r="C433" s="1"/>
      <c r="E433" s="2"/>
      <c r="F433" s="2"/>
    </row>
    <row r="434">
      <c r="C434" s="1"/>
      <c r="E434" s="2"/>
      <c r="F434" s="2"/>
    </row>
    <row r="435">
      <c r="C435" s="1"/>
      <c r="E435" s="2"/>
      <c r="F435" s="2"/>
    </row>
    <row r="436">
      <c r="C436" s="1"/>
      <c r="E436" s="2"/>
      <c r="F436" s="2"/>
    </row>
    <row r="437">
      <c r="C437" s="1"/>
      <c r="E437" s="2"/>
      <c r="F437" s="2"/>
    </row>
    <row r="438">
      <c r="C438" s="1"/>
      <c r="E438" s="2"/>
      <c r="F438" s="2"/>
    </row>
    <row r="439">
      <c r="C439" s="1"/>
      <c r="E439" s="2"/>
      <c r="F439" s="2"/>
    </row>
    <row r="440">
      <c r="C440" s="1"/>
      <c r="E440" s="2"/>
      <c r="F440" s="2"/>
    </row>
    <row r="441">
      <c r="C441" s="1"/>
      <c r="E441" s="2"/>
      <c r="F441" s="2"/>
    </row>
    <row r="442">
      <c r="C442" s="1"/>
      <c r="E442" s="2"/>
      <c r="F442" s="2"/>
    </row>
    <row r="443">
      <c r="C443" s="1"/>
      <c r="E443" s="2"/>
      <c r="F443" s="2"/>
    </row>
    <row r="444">
      <c r="C444" s="1"/>
      <c r="E444" s="2"/>
      <c r="F444" s="2"/>
    </row>
    <row r="445">
      <c r="C445" s="1"/>
      <c r="E445" s="2"/>
      <c r="F445" s="2"/>
    </row>
    <row r="446">
      <c r="C446" s="1"/>
      <c r="E446" s="2"/>
      <c r="F446" s="2"/>
    </row>
    <row r="447">
      <c r="C447" s="1"/>
      <c r="E447" s="2"/>
      <c r="F447" s="2"/>
    </row>
    <row r="448">
      <c r="C448" s="1"/>
      <c r="E448" s="2"/>
      <c r="F448" s="2"/>
    </row>
    <row r="449">
      <c r="C449" s="1"/>
      <c r="E449" s="2"/>
      <c r="F449" s="2"/>
    </row>
    <row r="450">
      <c r="C450" s="1"/>
      <c r="E450" s="2"/>
      <c r="F450" s="2"/>
    </row>
    <row r="451">
      <c r="C451" s="1"/>
      <c r="E451" s="2"/>
      <c r="F451" s="2"/>
    </row>
    <row r="452">
      <c r="C452" s="1"/>
      <c r="E452" s="2"/>
      <c r="F452" s="2"/>
    </row>
    <row r="453">
      <c r="C453" s="1"/>
      <c r="E453" s="2"/>
      <c r="F453" s="2"/>
    </row>
    <row r="454">
      <c r="C454" s="1"/>
      <c r="E454" s="2"/>
      <c r="F454" s="2"/>
    </row>
    <row r="455">
      <c r="C455" s="1"/>
      <c r="E455" s="2"/>
      <c r="F455" s="2"/>
    </row>
    <row r="456">
      <c r="C456" s="1"/>
      <c r="E456" s="2"/>
      <c r="F456" s="2"/>
    </row>
    <row r="457">
      <c r="C457" s="1"/>
      <c r="E457" s="2"/>
      <c r="F457" s="2"/>
    </row>
    <row r="458">
      <c r="C458" s="1"/>
      <c r="E458" s="2"/>
      <c r="F458" s="2"/>
    </row>
    <row r="459">
      <c r="C459" s="1"/>
      <c r="E459" s="2"/>
      <c r="F459" s="2"/>
    </row>
    <row r="460">
      <c r="C460" s="1"/>
      <c r="E460" s="2"/>
      <c r="F460" s="2"/>
    </row>
    <row r="461">
      <c r="C461" s="1"/>
      <c r="E461" s="2"/>
      <c r="F461" s="2"/>
    </row>
    <row r="462">
      <c r="C462" s="1"/>
      <c r="E462" s="2"/>
      <c r="F462" s="2"/>
    </row>
    <row r="463">
      <c r="C463" s="1"/>
      <c r="E463" s="2"/>
      <c r="F463" s="2"/>
    </row>
    <row r="464">
      <c r="C464" s="1"/>
      <c r="E464" s="2"/>
      <c r="F464" s="2"/>
    </row>
    <row r="465">
      <c r="C465" s="1"/>
      <c r="E465" s="2"/>
      <c r="F465" s="2"/>
    </row>
    <row r="466">
      <c r="C466" s="1"/>
      <c r="E466" s="2"/>
      <c r="F466" s="2"/>
    </row>
    <row r="467">
      <c r="C467" s="1"/>
      <c r="E467" s="2"/>
      <c r="F467" s="2"/>
    </row>
    <row r="468">
      <c r="C468" s="1"/>
      <c r="E468" s="2"/>
      <c r="F468" s="2"/>
    </row>
    <row r="469">
      <c r="C469" s="1"/>
      <c r="E469" s="2"/>
      <c r="F469" s="2"/>
    </row>
    <row r="470">
      <c r="C470" s="1"/>
      <c r="E470" s="2"/>
      <c r="F470" s="2"/>
    </row>
    <row r="471">
      <c r="C471" s="1"/>
      <c r="E471" s="2"/>
      <c r="F471" s="2"/>
    </row>
    <row r="472">
      <c r="C472" s="1"/>
      <c r="E472" s="2"/>
      <c r="F472" s="2"/>
    </row>
    <row r="473">
      <c r="C473" s="1"/>
      <c r="E473" s="2"/>
      <c r="F473" s="2"/>
    </row>
    <row r="474">
      <c r="C474" s="1"/>
      <c r="E474" s="2"/>
      <c r="F474" s="2"/>
    </row>
    <row r="475">
      <c r="C475" s="1"/>
      <c r="E475" s="2"/>
      <c r="F475" s="2"/>
    </row>
    <row r="476">
      <c r="C476" s="1"/>
      <c r="E476" s="2"/>
      <c r="F476" s="2"/>
    </row>
    <row r="477">
      <c r="C477" s="1"/>
      <c r="E477" s="2"/>
      <c r="F477" s="2"/>
    </row>
    <row r="478">
      <c r="C478" s="1"/>
      <c r="E478" s="2"/>
      <c r="F478" s="2"/>
    </row>
    <row r="479">
      <c r="C479" s="1"/>
      <c r="E479" s="2"/>
      <c r="F479" s="2"/>
    </row>
    <row r="480">
      <c r="C480" s="1"/>
      <c r="E480" s="2"/>
      <c r="F480" s="2"/>
    </row>
    <row r="481">
      <c r="C481" s="1"/>
      <c r="E481" s="2"/>
      <c r="F481" s="2"/>
    </row>
    <row r="482">
      <c r="C482" s="1"/>
      <c r="E482" s="2"/>
      <c r="F482" s="2"/>
    </row>
    <row r="483">
      <c r="C483" s="1"/>
      <c r="E483" s="2"/>
      <c r="F483" s="2"/>
    </row>
    <row r="484">
      <c r="C484" s="1"/>
      <c r="E484" s="2"/>
      <c r="F484" s="2"/>
    </row>
    <row r="485">
      <c r="C485" s="1"/>
      <c r="E485" s="2"/>
      <c r="F485" s="2"/>
    </row>
    <row r="486">
      <c r="C486" s="1"/>
      <c r="E486" s="2"/>
      <c r="F486" s="2"/>
    </row>
    <row r="487">
      <c r="C487" s="1"/>
      <c r="E487" s="2"/>
      <c r="F487" s="2"/>
    </row>
    <row r="488">
      <c r="C488" s="1"/>
      <c r="E488" s="2"/>
      <c r="F488" s="2"/>
    </row>
    <row r="489">
      <c r="C489" s="1"/>
      <c r="E489" s="2"/>
      <c r="F489" s="2"/>
    </row>
    <row r="490">
      <c r="C490" s="1"/>
      <c r="E490" s="2"/>
      <c r="F490" s="2"/>
    </row>
    <row r="491">
      <c r="C491" s="1"/>
      <c r="E491" s="2"/>
      <c r="F491" s="2"/>
    </row>
    <row r="492">
      <c r="C492" s="1"/>
      <c r="E492" s="2"/>
      <c r="F492" s="2"/>
    </row>
    <row r="493">
      <c r="C493" s="1"/>
      <c r="E493" s="2"/>
      <c r="F493" s="2"/>
    </row>
    <row r="494">
      <c r="C494" s="1"/>
      <c r="E494" s="2"/>
      <c r="F494" s="2"/>
    </row>
    <row r="495">
      <c r="C495" s="1"/>
      <c r="E495" s="2"/>
      <c r="F495" s="2"/>
    </row>
    <row r="496">
      <c r="C496" s="1"/>
      <c r="E496" s="2"/>
      <c r="F496" s="2"/>
    </row>
    <row r="497">
      <c r="C497" s="1"/>
      <c r="E497" s="2"/>
      <c r="F497" s="2"/>
    </row>
    <row r="498">
      <c r="C498" s="1"/>
      <c r="E498" s="2"/>
      <c r="F498" s="2"/>
    </row>
    <row r="499">
      <c r="C499" s="1"/>
      <c r="E499" s="2"/>
      <c r="F499" s="2"/>
    </row>
    <row r="500">
      <c r="C500" s="1"/>
      <c r="E500" s="2"/>
      <c r="F500" s="2"/>
    </row>
    <row r="501">
      <c r="C501" s="1"/>
      <c r="E501" s="2"/>
      <c r="F501" s="2"/>
    </row>
    <row r="502">
      <c r="C502" s="1"/>
      <c r="E502" s="2"/>
      <c r="F502" s="2"/>
    </row>
    <row r="503">
      <c r="C503" s="1"/>
      <c r="E503" s="2"/>
      <c r="F503" s="2"/>
    </row>
    <row r="504">
      <c r="C504" s="1"/>
      <c r="E504" s="2"/>
      <c r="F504" s="2"/>
    </row>
    <row r="505">
      <c r="C505" s="1"/>
      <c r="E505" s="2"/>
      <c r="F505" s="2"/>
    </row>
    <row r="506">
      <c r="C506" s="1"/>
      <c r="E506" s="2"/>
      <c r="F506" s="2"/>
    </row>
    <row r="507">
      <c r="C507" s="1"/>
      <c r="E507" s="2"/>
      <c r="F507" s="2"/>
    </row>
    <row r="508">
      <c r="C508" s="1"/>
      <c r="E508" s="2"/>
      <c r="F508" s="2"/>
    </row>
    <row r="509">
      <c r="C509" s="1"/>
      <c r="E509" s="2"/>
      <c r="F509" s="2"/>
    </row>
    <row r="510">
      <c r="C510" s="1"/>
      <c r="E510" s="2"/>
      <c r="F510" s="2"/>
    </row>
    <row r="511">
      <c r="C511" s="1"/>
      <c r="E511" s="2"/>
      <c r="F511" s="2"/>
    </row>
    <row r="512">
      <c r="C512" s="1"/>
      <c r="E512" s="2"/>
      <c r="F512" s="2"/>
    </row>
    <row r="513">
      <c r="C513" s="1"/>
      <c r="E513" s="2"/>
      <c r="F513" s="2"/>
    </row>
    <row r="514">
      <c r="C514" s="1"/>
      <c r="E514" s="2"/>
      <c r="F514" s="2"/>
    </row>
    <row r="515">
      <c r="C515" s="1"/>
      <c r="E515" s="2"/>
      <c r="F515" s="2"/>
    </row>
    <row r="516">
      <c r="C516" s="1"/>
      <c r="E516" s="2"/>
      <c r="F516" s="2"/>
    </row>
    <row r="517">
      <c r="C517" s="1"/>
      <c r="E517" s="2"/>
      <c r="F517" s="2"/>
    </row>
    <row r="518">
      <c r="C518" s="1"/>
      <c r="E518" s="2"/>
      <c r="F518" s="2"/>
    </row>
    <row r="519">
      <c r="C519" s="1"/>
      <c r="E519" s="2"/>
      <c r="F519" s="2"/>
    </row>
    <row r="520">
      <c r="C520" s="1"/>
      <c r="E520" s="2"/>
      <c r="F520" s="2"/>
    </row>
    <row r="521">
      <c r="C521" s="1"/>
      <c r="E521" s="2"/>
      <c r="F521" s="2"/>
    </row>
    <row r="522">
      <c r="C522" s="1"/>
      <c r="E522" s="2"/>
      <c r="F522" s="2"/>
    </row>
    <row r="523">
      <c r="C523" s="1"/>
      <c r="E523" s="2"/>
      <c r="F523" s="2"/>
    </row>
    <row r="524">
      <c r="C524" s="1"/>
      <c r="E524" s="2"/>
      <c r="F524" s="2"/>
    </row>
    <row r="525">
      <c r="C525" s="1"/>
      <c r="E525" s="2"/>
      <c r="F525" s="2"/>
    </row>
    <row r="526">
      <c r="C526" s="1"/>
      <c r="E526" s="2"/>
      <c r="F526" s="2"/>
    </row>
    <row r="527">
      <c r="C527" s="1"/>
      <c r="E527" s="2"/>
      <c r="F527" s="2"/>
    </row>
    <row r="528">
      <c r="C528" s="1"/>
      <c r="E528" s="2"/>
      <c r="F528" s="2"/>
    </row>
    <row r="529">
      <c r="C529" s="1"/>
      <c r="E529" s="2"/>
      <c r="F529" s="2"/>
    </row>
    <row r="530">
      <c r="C530" s="1"/>
      <c r="E530" s="2"/>
      <c r="F530" s="2"/>
    </row>
    <row r="531">
      <c r="C531" s="1"/>
      <c r="E531" s="2"/>
      <c r="F531" s="2"/>
    </row>
    <row r="532">
      <c r="C532" s="1"/>
      <c r="E532" s="2"/>
      <c r="F532" s="2"/>
    </row>
    <row r="533">
      <c r="C533" s="1"/>
      <c r="E533" s="2"/>
      <c r="F533" s="2"/>
    </row>
    <row r="534">
      <c r="C534" s="1"/>
      <c r="E534" s="2"/>
      <c r="F534" s="2"/>
    </row>
    <row r="535">
      <c r="C535" s="1"/>
      <c r="E535" s="2"/>
      <c r="F535" s="2"/>
    </row>
    <row r="536">
      <c r="C536" s="1"/>
      <c r="E536" s="2"/>
      <c r="F536" s="2"/>
    </row>
    <row r="537">
      <c r="C537" s="1"/>
      <c r="E537" s="2"/>
      <c r="F537" s="2"/>
    </row>
    <row r="538">
      <c r="C538" s="1"/>
      <c r="E538" s="2"/>
      <c r="F538" s="2"/>
    </row>
    <row r="539">
      <c r="C539" s="1"/>
      <c r="E539" s="2"/>
      <c r="F539" s="2"/>
    </row>
    <row r="540">
      <c r="C540" s="1"/>
      <c r="E540" s="2"/>
      <c r="F540" s="2"/>
    </row>
    <row r="541">
      <c r="C541" s="1"/>
      <c r="E541" s="2"/>
      <c r="F541" s="2"/>
    </row>
    <row r="542">
      <c r="C542" s="1"/>
      <c r="E542" s="2"/>
      <c r="F542" s="2"/>
    </row>
    <row r="543">
      <c r="C543" s="1"/>
      <c r="E543" s="2"/>
      <c r="F543" s="2"/>
    </row>
    <row r="544">
      <c r="C544" s="1"/>
      <c r="E544" s="2"/>
      <c r="F544" s="2"/>
    </row>
    <row r="545">
      <c r="C545" s="1"/>
      <c r="E545" s="2"/>
      <c r="F545" s="2"/>
    </row>
    <row r="546">
      <c r="C546" s="1"/>
      <c r="E546" s="2"/>
      <c r="F546" s="2"/>
    </row>
    <row r="547">
      <c r="C547" s="1"/>
      <c r="E547" s="2"/>
      <c r="F547" s="2"/>
    </row>
    <row r="548">
      <c r="C548" s="1"/>
      <c r="E548" s="2"/>
      <c r="F548" s="2"/>
    </row>
    <row r="549">
      <c r="C549" s="1"/>
      <c r="E549" s="2"/>
      <c r="F549" s="2"/>
    </row>
    <row r="550">
      <c r="C550" s="1"/>
      <c r="E550" s="2"/>
      <c r="F550" s="2"/>
    </row>
    <row r="551">
      <c r="C551" s="1"/>
      <c r="E551" s="2"/>
      <c r="F551" s="2"/>
    </row>
    <row r="552">
      <c r="C552" s="1"/>
      <c r="E552" s="2"/>
      <c r="F552" s="2"/>
    </row>
    <row r="553">
      <c r="C553" s="1"/>
      <c r="E553" s="2"/>
      <c r="F553" s="2"/>
    </row>
    <row r="554">
      <c r="C554" s="1"/>
      <c r="E554" s="2"/>
      <c r="F554" s="2"/>
    </row>
    <row r="555">
      <c r="C555" s="1"/>
      <c r="E555" s="2"/>
      <c r="F555" s="2"/>
    </row>
    <row r="556">
      <c r="C556" s="1"/>
      <c r="E556" s="2"/>
      <c r="F556" s="2"/>
    </row>
    <row r="557">
      <c r="C557" s="1"/>
      <c r="E557" s="2"/>
      <c r="F557" s="2"/>
    </row>
    <row r="558">
      <c r="C558" s="1"/>
      <c r="E558" s="2"/>
      <c r="F558" s="2"/>
    </row>
    <row r="559">
      <c r="C559" s="1"/>
      <c r="E559" s="2"/>
      <c r="F559" s="2"/>
    </row>
    <row r="560">
      <c r="C560" s="1"/>
      <c r="E560" s="2"/>
      <c r="F560" s="2"/>
    </row>
    <row r="561">
      <c r="C561" s="1"/>
      <c r="E561" s="2"/>
      <c r="F561" s="2"/>
    </row>
    <row r="562">
      <c r="C562" s="1"/>
      <c r="E562" s="2"/>
      <c r="F562" s="2"/>
    </row>
    <row r="563">
      <c r="C563" s="1"/>
      <c r="E563" s="2"/>
      <c r="F563" s="2"/>
    </row>
    <row r="564">
      <c r="C564" s="1"/>
      <c r="E564" s="2"/>
      <c r="F564" s="2"/>
    </row>
    <row r="565">
      <c r="C565" s="1"/>
      <c r="E565" s="2"/>
      <c r="F565" s="2"/>
    </row>
    <row r="566">
      <c r="C566" s="1"/>
      <c r="E566" s="2"/>
      <c r="F566" s="2"/>
    </row>
    <row r="567">
      <c r="C567" s="1"/>
      <c r="E567" s="2"/>
      <c r="F567" s="2"/>
    </row>
    <row r="568">
      <c r="C568" s="1"/>
      <c r="E568" s="2"/>
      <c r="F568" s="2"/>
    </row>
    <row r="569">
      <c r="C569" s="1"/>
      <c r="E569" s="2"/>
      <c r="F569" s="2"/>
    </row>
    <row r="570">
      <c r="C570" s="1"/>
      <c r="E570" s="2"/>
      <c r="F570" s="2"/>
    </row>
    <row r="571">
      <c r="C571" s="1"/>
      <c r="E571" s="2"/>
      <c r="F571" s="2"/>
    </row>
    <row r="572">
      <c r="C572" s="1"/>
      <c r="E572" s="2"/>
      <c r="F572" s="2"/>
    </row>
    <row r="573">
      <c r="C573" s="1"/>
      <c r="E573" s="2"/>
      <c r="F573" s="2"/>
    </row>
    <row r="574">
      <c r="C574" s="1"/>
      <c r="E574" s="2"/>
      <c r="F574" s="2"/>
    </row>
    <row r="575">
      <c r="C575" s="1"/>
      <c r="E575" s="2"/>
      <c r="F575" s="2"/>
    </row>
    <row r="576">
      <c r="C576" s="1"/>
      <c r="E576" s="2"/>
      <c r="F576" s="2"/>
    </row>
    <row r="577">
      <c r="C577" s="1"/>
      <c r="E577" s="2"/>
      <c r="F577" s="2"/>
    </row>
    <row r="578">
      <c r="C578" s="1"/>
      <c r="E578" s="2"/>
      <c r="F578" s="2"/>
    </row>
    <row r="579">
      <c r="C579" s="1"/>
      <c r="E579" s="2"/>
      <c r="F579" s="2"/>
    </row>
    <row r="580">
      <c r="C580" s="1"/>
      <c r="E580" s="2"/>
      <c r="F580" s="2"/>
    </row>
    <row r="581">
      <c r="C581" s="1"/>
      <c r="E581" s="2"/>
      <c r="F581" s="2"/>
    </row>
    <row r="582">
      <c r="C582" s="1"/>
      <c r="E582" s="2"/>
      <c r="F582" s="2"/>
    </row>
    <row r="583">
      <c r="C583" s="1"/>
      <c r="E583" s="2"/>
      <c r="F583" s="2"/>
    </row>
    <row r="584">
      <c r="C584" s="1"/>
      <c r="E584" s="2"/>
      <c r="F584" s="2"/>
    </row>
    <row r="585">
      <c r="C585" s="1"/>
      <c r="E585" s="2"/>
      <c r="F585" s="2"/>
    </row>
    <row r="586">
      <c r="C586" s="1"/>
      <c r="E586" s="2"/>
      <c r="F586" s="2"/>
    </row>
    <row r="587">
      <c r="C587" s="1"/>
      <c r="E587" s="2"/>
      <c r="F587" s="2"/>
    </row>
    <row r="588">
      <c r="C588" s="1"/>
      <c r="E588" s="2"/>
      <c r="F588" s="2"/>
    </row>
    <row r="589">
      <c r="C589" s="1"/>
      <c r="E589" s="2"/>
      <c r="F589" s="2"/>
    </row>
    <row r="590">
      <c r="C590" s="1"/>
      <c r="E590" s="2"/>
      <c r="F590" s="2"/>
    </row>
    <row r="591">
      <c r="C591" s="1"/>
      <c r="E591" s="2"/>
      <c r="F591" s="2"/>
    </row>
    <row r="592">
      <c r="C592" s="1"/>
      <c r="E592" s="2"/>
      <c r="F592" s="2"/>
    </row>
    <row r="593">
      <c r="C593" s="1"/>
      <c r="E593" s="2"/>
      <c r="F593" s="2"/>
    </row>
    <row r="594">
      <c r="C594" s="1"/>
      <c r="E594" s="2"/>
      <c r="F594" s="2"/>
    </row>
    <row r="595">
      <c r="C595" s="1"/>
      <c r="E595" s="2"/>
      <c r="F595" s="2"/>
    </row>
    <row r="596">
      <c r="C596" s="1"/>
      <c r="E596" s="2"/>
      <c r="F596" s="2"/>
    </row>
    <row r="597">
      <c r="C597" s="1"/>
      <c r="E597" s="2"/>
      <c r="F597" s="2"/>
    </row>
    <row r="598">
      <c r="C598" s="1"/>
      <c r="E598" s="2"/>
      <c r="F598" s="2"/>
    </row>
    <row r="599">
      <c r="C599" s="1"/>
      <c r="E599" s="2"/>
      <c r="F599" s="2"/>
    </row>
    <row r="600">
      <c r="C600" s="1"/>
      <c r="E600" s="2"/>
      <c r="F600" s="2"/>
    </row>
    <row r="601">
      <c r="C601" s="1"/>
      <c r="E601" s="2"/>
      <c r="F601" s="2"/>
    </row>
    <row r="602">
      <c r="C602" s="1"/>
      <c r="E602" s="2"/>
      <c r="F602" s="2"/>
    </row>
    <row r="603">
      <c r="C603" s="1"/>
      <c r="E603" s="2"/>
      <c r="F603" s="2"/>
    </row>
    <row r="604">
      <c r="C604" s="1"/>
      <c r="E604" s="2"/>
      <c r="F604" s="2"/>
    </row>
    <row r="605">
      <c r="C605" s="1"/>
      <c r="E605" s="2"/>
      <c r="F605" s="2"/>
    </row>
    <row r="606">
      <c r="C606" s="1"/>
      <c r="E606" s="2"/>
      <c r="F606" s="2"/>
    </row>
    <row r="607">
      <c r="C607" s="1"/>
      <c r="E607" s="2"/>
      <c r="F607" s="2"/>
    </row>
    <row r="608">
      <c r="C608" s="1"/>
      <c r="E608" s="2"/>
      <c r="F608" s="2"/>
    </row>
    <row r="609">
      <c r="C609" s="1"/>
      <c r="E609" s="2"/>
      <c r="F609" s="2"/>
    </row>
    <row r="610">
      <c r="C610" s="1"/>
      <c r="E610" s="2"/>
      <c r="F610" s="2"/>
    </row>
    <row r="611">
      <c r="C611" s="1"/>
      <c r="E611" s="2"/>
      <c r="F611" s="2"/>
    </row>
    <row r="612">
      <c r="C612" s="1"/>
      <c r="E612" s="2"/>
      <c r="F612" s="2"/>
    </row>
    <row r="613">
      <c r="C613" s="1"/>
      <c r="E613" s="2"/>
      <c r="F613" s="2"/>
    </row>
    <row r="614">
      <c r="C614" s="1"/>
      <c r="E614" s="2"/>
      <c r="F614" s="2"/>
    </row>
    <row r="615">
      <c r="C615" s="1"/>
      <c r="E615" s="2"/>
      <c r="F615" s="2"/>
    </row>
    <row r="616">
      <c r="C616" s="1"/>
      <c r="E616" s="2"/>
      <c r="F616" s="2"/>
    </row>
    <row r="617">
      <c r="C617" s="1"/>
      <c r="E617" s="2"/>
      <c r="F617" s="2"/>
    </row>
    <row r="618">
      <c r="C618" s="1"/>
      <c r="E618" s="2"/>
      <c r="F618" s="2"/>
    </row>
    <row r="619">
      <c r="C619" s="1"/>
      <c r="E619" s="2"/>
      <c r="F619" s="2"/>
    </row>
    <row r="620">
      <c r="C620" s="1"/>
      <c r="E620" s="2"/>
      <c r="F620" s="2"/>
    </row>
    <row r="621">
      <c r="C621" s="1"/>
      <c r="E621" s="2"/>
      <c r="F621" s="2"/>
    </row>
    <row r="622">
      <c r="C622" s="1"/>
      <c r="E622" s="2"/>
      <c r="F622" s="2"/>
    </row>
    <row r="623">
      <c r="C623" s="1"/>
      <c r="E623" s="2"/>
      <c r="F623" s="2"/>
    </row>
    <row r="624">
      <c r="C624" s="1"/>
      <c r="E624" s="2"/>
      <c r="F624" s="2"/>
    </row>
    <row r="625">
      <c r="C625" s="1"/>
      <c r="E625" s="2"/>
      <c r="F625" s="2"/>
    </row>
    <row r="626">
      <c r="C626" s="1"/>
      <c r="E626" s="2"/>
      <c r="F626" s="2"/>
    </row>
    <row r="627">
      <c r="C627" s="1"/>
      <c r="E627" s="2"/>
      <c r="F627" s="2"/>
    </row>
    <row r="628">
      <c r="C628" s="1"/>
      <c r="E628" s="2"/>
      <c r="F628" s="2"/>
    </row>
    <row r="629">
      <c r="C629" s="1"/>
      <c r="E629" s="2"/>
      <c r="F629" s="2"/>
    </row>
    <row r="630">
      <c r="C630" s="1"/>
      <c r="E630" s="2"/>
      <c r="F630" s="2"/>
    </row>
    <row r="631">
      <c r="C631" s="1"/>
      <c r="E631" s="2"/>
      <c r="F631" s="2"/>
    </row>
    <row r="632">
      <c r="C632" s="1"/>
      <c r="E632" s="2"/>
      <c r="F632" s="2"/>
    </row>
    <row r="633">
      <c r="C633" s="1"/>
      <c r="E633" s="2"/>
      <c r="F633" s="2"/>
    </row>
    <row r="634">
      <c r="C634" s="1"/>
      <c r="E634" s="2"/>
      <c r="F634" s="2"/>
    </row>
    <row r="635">
      <c r="C635" s="1"/>
      <c r="E635" s="2"/>
      <c r="F635" s="2"/>
    </row>
    <row r="636">
      <c r="C636" s="1"/>
      <c r="E636" s="2"/>
      <c r="F636" s="2"/>
    </row>
    <row r="637">
      <c r="C637" s="1"/>
      <c r="E637" s="2"/>
      <c r="F637" s="2"/>
    </row>
    <row r="638">
      <c r="C638" s="1"/>
      <c r="E638" s="2"/>
      <c r="F638" s="2"/>
    </row>
    <row r="639">
      <c r="C639" s="1"/>
      <c r="E639" s="2"/>
      <c r="F639" s="2"/>
    </row>
    <row r="640">
      <c r="C640" s="1"/>
      <c r="E640" s="2"/>
      <c r="F640" s="2"/>
    </row>
    <row r="641">
      <c r="C641" s="1"/>
      <c r="E641" s="2"/>
      <c r="F641" s="2"/>
    </row>
    <row r="642">
      <c r="C642" s="1"/>
      <c r="E642" s="2"/>
      <c r="F642" s="2"/>
    </row>
    <row r="643">
      <c r="C643" s="1"/>
      <c r="E643" s="2"/>
      <c r="F643" s="2"/>
    </row>
    <row r="644">
      <c r="C644" s="1"/>
      <c r="E644" s="2"/>
      <c r="F644" s="2"/>
    </row>
    <row r="645">
      <c r="C645" s="1"/>
      <c r="E645" s="2"/>
      <c r="F645" s="2"/>
    </row>
    <row r="646">
      <c r="C646" s="1"/>
      <c r="E646" s="2"/>
      <c r="F646" s="2"/>
    </row>
    <row r="647">
      <c r="C647" s="1"/>
      <c r="E647" s="2"/>
      <c r="F647" s="2"/>
    </row>
    <row r="648">
      <c r="C648" s="1"/>
      <c r="E648" s="2"/>
      <c r="F648" s="2"/>
    </row>
    <row r="649">
      <c r="C649" s="1"/>
      <c r="E649" s="2"/>
      <c r="F649" s="2"/>
    </row>
    <row r="650">
      <c r="C650" s="1"/>
      <c r="E650" s="2"/>
      <c r="F650" s="2"/>
    </row>
    <row r="651">
      <c r="C651" s="1"/>
      <c r="E651" s="2"/>
      <c r="F651" s="2"/>
    </row>
    <row r="652">
      <c r="C652" s="1"/>
      <c r="E652" s="2"/>
      <c r="F652" s="2"/>
    </row>
    <row r="653">
      <c r="C653" s="1"/>
      <c r="E653" s="2"/>
      <c r="F653" s="2"/>
    </row>
    <row r="654">
      <c r="C654" s="1"/>
      <c r="E654" s="2"/>
      <c r="F654" s="2"/>
    </row>
    <row r="655">
      <c r="C655" s="1"/>
      <c r="E655" s="2"/>
      <c r="F655" s="2"/>
    </row>
    <row r="656">
      <c r="C656" s="1"/>
      <c r="E656" s="2"/>
      <c r="F656" s="2"/>
    </row>
    <row r="657">
      <c r="C657" s="1"/>
      <c r="E657" s="2"/>
      <c r="F657" s="2"/>
    </row>
    <row r="658">
      <c r="C658" s="1"/>
      <c r="E658" s="2"/>
      <c r="F658" s="2"/>
    </row>
    <row r="659">
      <c r="C659" s="1"/>
      <c r="E659" s="2"/>
      <c r="F659" s="2"/>
    </row>
    <row r="660">
      <c r="C660" s="1"/>
      <c r="E660" s="2"/>
      <c r="F660" s="2"/>
    </row>
    <row r="661">
      <c r="C661" s="1"/>
      <c r="E661" s="2"/>
      <c r="F661" s="2"/>
    </row>
    <row r="662">
      <c r="C662" s="1"/>
      <c r="E662" s="2"/>
      <c r="F662" s="2"/>
    </row>
    <row r="663">
      <c r="C663" s="1"/>
      <c r="E663" s="2"/>
      <c r="F663" s="2"/>
    </row>
    <row r="664">
      <c r="C664" s="1"/>
      <c r="E664" s="2"/>
      <c r="F664" s="2"/>
    </row>
    <row r="665">
      <c r="C665" s="1"/>
      <c r="E665" s="2"/>
      <c r="F665" s="2"/>
    </row>
    <row r="666">
      <c r="C666" s="1"/>
      <c r="E666" s="2"/>
      <c r="F666" s="2"/>
    </row>
    <row r="667">
      <c r="C667" s="1"/>
      <c r="E667" s="2"/>
      <c r="F667" s="2"/>
    </row>
    <row r="668">
      <c r="C668" s="1"/>
      <c r="E668" s="2"/>
      <c r="F668" s="2"/>
    </row>
    <row r="669">
      <c r="C669" s="1"/>
      <c r="E669" s="2"/>
      <c r="F669" s="2"/>
    </row>
    <row r="670">
      <c r="C670" s="1"/>
      <c r="E670" s="2"/>
      <c r="F670" s="2"/>
    </row>
    <row r="671">
      <c r="C671" s="1"/>
      <c r="E671" s="2"/>
      <c r="F671" s="2"/>
    </row>
    <row r="672">
      <c r="C672" s="1"/>
      <c r="E672" s="2"/>
      <c r="F672" s="2"/>
    </row>
    <row r="673">
      <c r="C673" s="1"/>
      <c r="E673" s="2"/>
      <c r="F673" s="2"/>
    </row>
    <row r="674">
      <c r="C674" s="1"/>
      <c r="E674" s="2"/>
      <c r="F674" s="2"/>
    </row>
    <row r="675">
      <c r="C675" s="1"/>
      <c r="E675" s="2"/>
      <c r="F675" s="2"/>
    </row>
    <row r="676">
      <c r="C676" s="1"/>
      <c r="E676" s="2"/>
      <c r="F676" s="2"/>
    </row>
    <row r="677">
      <c r="C677" s="1"/>
      <c r="E677" s="2"/>
      <c r="F677" s="2"/>
    </row>
    <row r="678">
      <c r="C678" s="1"/>
      <c r="E678" s="2"/>
      <c r="F678" s="2"/>
    </row>
    <row r="679">
      <c r="C679" s="1"/>
      <c r="E679" s="2"/>
      <c r="F679" s="2"/>
    </row>
    <row r="680">
      <c r="C680" s="1"/>
      <c r="E680" s="2"/>
      <c r="F680" s="2"/>
    </row>
    <row r="681">
      <c r="C681" s="1"/>
      <c r="E681" s="2"/>
      <c r="F681" s="2"/>
    </row>
    <row r="682">
      <c r="C682" s="1"/>
      <c r="E682" s="2"/>
      <c r="F682" s="2"/>
    </row>
    <row r="683">
      <c r="C683" s="1"/>
      <c r="E683" s="2"/>
      <c r="F683" s="2"/>
    </row>
    <row r="684">
      <c r="C684" s="1"/>
      <c r="E684" s="2"/>
      <c r="F684" s="2"/>
    </row>
    <row r="685">
      <c r="C685" s="1"/>
      <c r="E685" s="2"/>
      <c r="F685" s="2"/>
    </row>
    <row r="686">
      <c r="C686" s="1"/>
      <c r="E686" s="2"/>
      <c r="F686" s="2"/>
    </row>
    <row r="687">
      <c r="C687" s="1"/>
      <c r="E687" s="2"/>
      <c r="F687" s="2"/>
    </row>
    <row r="688">
      <c r="C688" s="1"/>
      <c r="E688" s="2"/>
      <c r="F688" s="2"/>
    </row>
    <row r="689">
      <c r="C689" s="1"/>
      <c r="E689" s="2"/>
      <c r="F689" s="2"/>
    </row>
    <row r="690">
      <c r="C690" s="1"/>
      <c r="E690" s="2"/>
      <c r="F690" s="2"/>
    </row>
    <row r="691">
      <c r="C691" s="1"/>
      <c r="E691" s="2"/>
      <c r="F691" s="2"/>
    </row>
    <row r="692">
      <c r="C692" s="1"/>
      <c r="E692" s="2"/>
      <c r="F692" s="2"/>
    </row>
    <row r="693">
      <c r="C693" s="1"/>
      <c r="E693" s="2"/>
      <c r="F693" s="2"/>
    </row>
    <row r="694">
      <c r="C694" s="1"/>
      <c r="E694" s="2"/>
      <c r="F694" s="2"/>
    </row>
    <row r="695">
      <c r="C695" s="1"/>
      <c r="E695" s="2"/>
      <c r="F695" s="2"/>
    </row>
    <row r="696">
      <c r="C696" s="1"/>
      <c r="E696" s="2"/>
      <c r="F696" s="2"/>
    </row>
    <row r="697">
      <c r="C697" s="1"/>
      <c r="E697" s="2"/>
      <c r="F697" s="2"/>
    </row>
    <row r="698">
      <c r="C698" s="1"/>
      <c r="E698" s="2"/>
      <c r="F698" s="2"/>
    </row>
    <row r="699">
      <c r="C699" s="1"/>
      <c r="E699" s="2"/>
      <c r="F699" s="2"/>
    </row>
    <row r="700">
      <c r="C700" s="1"/>
      <c r="E700" s="2"/>
      <c r="F700" s="2"/>
    </row>
    <row r="701">
      <c r="C701" s="1"/>
      <c r="E701" s="2"/>
      <c r="F701" s="2"/>
    </row>
    <row r="702">
      <c r="C702" s="1"/>
      <c r="E702" s="2"/>
      <c r="F702" s="2"/>
    </row>
    <row r="703">
      <c r="C703" s="1"/>
      <c r="E703" s="2"/>
      <c r="F703" s="2"/>
    </row>
    <row r="704">
      <c r="C704" s="1"/>
      <c r="E704" s="2"/>
      <c r="F704" s="2"/>
    </row>
    <row r="705">
      <c r="C705" s="1"/>
      <c r="E705" s="2"/>
      <c r="F705" s="2"/>
    </row>
    <row r="706">
      <c r="C706" s="1"/>
      <c r="E706" s="2"/>
      <c r="F706" s="2"/>
    </row>
    <row r="707">
      <c r="C707" s="1"/>
      <c r="E707" s="2"/>
      <c r="F707" s="2"/>
    </row>
    <row r="708">
      <c r="C708" s="1"/>
      <c r="E708" s="2"/>
      <c r="F708" s="2"/>
    </row>
    <row r="709">
      <c r="C709" s="1"/>
      <c r="E709" s="2"/>
      <c r="F709" s="2"/>
    </row>
    <row r="710">
      <c r="C710" s="1"/>
      <c r="E710" s="2"/>
      <c r="F710" s="2"/>
    </row>
    <row r="711">
      <c r="C711" s="1"/>
      <c r="E711" s="2"/>
      <c r="F711" s="2"/>
    </row>
    <row r="712">
      <c r="C712" s="1"/>
      <c r="E712" s="2"/>
      <c r="F712" s="2"/>
    </row>
    <row r="713">
      <c r="C713" s="1"/>
      <c r="E713" s="2"/>
      <c r="F713" s="2"/>
    </row>
    <row r="714">
      <c r="C714" s="1"/>
      <c r="E714" s="2"/>
      <c r="F714" s="2"/>
    </row>
    <row r="715">
      <c r="C715" s="1"/>
      <c r="E715" s="2"/>
      <c r="F715" s="2"/>
    </row>
    <row r="716">
      <c r="C716" s="1"/>
      <c r="E716" s="2"/>
      <c r="F716" s="2"/>
    </row>
    <row r="717">
      <c r="C717" s="1"/>
      <c r="E717" s="2"/>
      <c r="F717" s="2"/>
    </row>
    <row r="718">
      <c r="C718" s="1"/>
      <c r="E718" s="2"/>
      <c r="F718" s="2"/>
    </row>
    <row r="719">
      <c r="C719" s="1"/>
      <c r="E719" s="2"/>
      <c r="F719" s="2"/>
    </row>
    <row r="720">
      <c r="C720" s="1"/>
      <c r="E720" s="2"/>
      <c r="F720" s="2"/>
    </row>
    <row r="721">
      <c r="C721" s="1"/>
      <c r="E721" s="2"/>
      <c r="F721" s="2"/>
    </row>
    <row r="722">
      <c r="C722" s="1"/>
      <c r="E722" s="2"/>
      <c r="F722" s="2"/>
    </row>
    <row r="723">
      <c r="C723" s="1"/>
      <c r="E723" s="2"/>
      <c r="F723" s="2"/>
    </row>
    <row r="724">
      <c r="C724" s="1"/>
      <c r="E724" s="2"/>
      <c r="F724" s="2"/>
    </row>
    <row r="725">
      <c r="C725" s="1"/>
      <c r="E725" s="2"/>
      <c r="F725" s="2"/>
    </row>
    <row r="726">
      <c r="C726" s="1"/>
      <c r="E726" s="2"/>
      <c r="F726" s="2"/>
    </row>
    <row r="727">
      <c r="C727" s="1"/>
      <c r="E727" s="2"/>
      <c r="F727" s="2"/>
    </row>
    <row r="728">
      <c r="C728" s="1"/>
      <c r="E728" s="2"/>
      <c r="F728" s="2"/>
    </row>
    <row r="729">
      <c r="C729" s="1"/>
      <c r="E729" s="2"/>
      <c r="F729" s="2"/>
    </row>
    <row r="730">
      <c r="C730" s="1"/>
      <c r="E730" s="2"/>
      <c r="F730" s="2"/>
    </row>
    <row r="731">
      <c r="C731" s="1"/>
      <c r="E731" s="2"/>
      <c r="F731" s="2"/>
    </row>
    <row r="732">
      <c r="C732" s="1"/>
      <c r="E732" s="2"/>
      <c r="F732" s="2"/>
    </row>
    <row r="733">
      <c r="C733" s="1"/>
      <c r="E733" s="2"/>
      <c r="F733" s="2"/>
    </row>
    <row r="734">
      <c r="C734" s="1"/>
      <c r="E734" s="2"/>
      <c r="F734" s="2"/>
    </row>
    <row r="735">
      <c r="C735" s="1"/>
      <c r="E735" s="2"/>
      <c r="F735" s="2"/>
    </row>
    <row r="736">
      <c r="C736" s="1"/>
      <c r="E736" s="2"/>
      <c r="F736" s="2"/>
    </row>
    <row r="737">
      <c r="C737" s="1"/>
      <c r="E737" s="2"/>
      <c r="F737" s="2"/>
    </row>
    <row r="738">
      <c r="C738" s="1"/>
      <c r="E738" s="2"/>
      <c r="F738" s="2"/>
    </row>
    <row r="739">
      <c r="C739" s="1"/>
      <c r="E739" s="2"/>
      <c r="F739" s="2"/>
    </row>
    <row r="740">
      <c r="C740" s="1"/>
      <c r="E740" s="2"/>
      <c r="F740" s="2"/>
    </row>
    <row r="741">
      <c r="C741" s="1"/>
      <c r="E741" s="2"/>
      <c r="F741" s="2"/>
    </row>
    <row r="742">
      <c r="C742" s="1"/>
      <c r="E742" s="2"/>
      <c r="F742" s="2"/>
    </row>
    <row r="743">
      <c r="C743" s="1"/>
      <c r="E743" s="2"/>
      <c r="F743" s="2"/>
    </row>
    <row r="744">
      <c r="C744" s="1"/>
      <c r="E744" s="2"/>
      <c r="F744" s="2"/>
    </row>
    <row r="745">
      <c r="C745" s="1"/>
      <c r="E745" s="2"/>
      <c r="F745" s="2"/>
    </row>
    <row r="746">
      <c r="C746" s="1"/>
      <c r="E746" s="2"/>
      <c r="F746" s="2"/>
    </row>
    <row r="747">
      <c r="C747" s="1"/>
      <c r="E747" s="2"/>
      <c r="F747" s="2"/>
    </row>
    <row r="748">
      <c r="C748" s="1"/>
      <c r="E748" s="2"/>
      <c r="F748" s="2"/>
    </row>
    <row r="749">
      <c r="C749" s="1"/>
      <c r="E749" s="2"/>
      <c r="F749" s="2"/>
    </row>
    <row r="750">
      <c r="C750" s="1"/>
      <c r="E750" s="2"/>
      <c r="F750" s="2"/>
    </row>
    <row r="751">
      <c r="C751" s="1"/>
      <c r="E751" s="2"/>
      <c r="F751" s="2"/>
    </row>
    <row r="752">
      <c r="C752" s="1"/>
      <c r="E752" s="2"/>
      <c r="F752" s="2"/>
    </row>
    <row r="753">
      <c r="C753" s="1"/>
      <c r="E753" s="2"/>
      <c r="F753" s="2"/>
    </row>
    <row r="754">
      <c r="C754" s="1"/>
      <c r="E754" s="2"/>
      <c r="F754" s="2"/>
    </row>
    <row r="755">
      <c r="C755" s="1"/>
      <c r="E755" s="2"/>
      <c r="F755" s="2"/>
    </row>
    <row r="756">
      <c r="C756" s="1"/>
      <c r="E756" s="2"/>
      <c r="F756" s="2"/>
    </row>
    <row r="757">
      <c r="C757" s="1"/>
      <c r="E757" s="2"/>
      <c r="F757" s="2"/>
    </row>
    <row r="758">
      <c r="C758" s="1"/>
      <c r="E758" s="2"/>
      <c r="F758" s="2"/>
    </row>
    <row r="759">
      <c r="C759" s="1"/>
      <c r="E759" s="2"/>
      <c r="F759" s="2"/>
    </row>
    <row r="760">
      <c r="C760" s="1"/>
      <c r="E760" s="2"/>
      <c r="F760" s="2"/>
    </row>
    <row r="761">
      <c r="C761" s="1"/>
      <c r="E761" s="2"/>
      <c r="F761" s="2"/>
    </row>
    <row r="762">
      <c r="C762" s="1"/>
      <c r="E762" s="2"/>
      <c r="F762" s="2"/>
    </row>
    <row r="763">
      <c r="C763" s="1"/>
      <c r="E763" s="2"/>
      <c r="F763" s="2"/>
    </row>
    <row r="764">
      <c r="C764" s="1"/>
      <c r="E764" s="2"/>
      <c r="F764" s="2"/>
    </row>
    <row r="765">
      <c r="C765" s="1"/>
      <c r="E765" s="2"/>
      <c r="F765" s="2"/>
    </row>
    <row r="766">
      <c r="C766" s="1"/>
      <c r="E766" s="2"/>
      <c r="F766" s="2"/>
    </row>
    <row r="767">
      <c r="C767" s="1"/>
      <c r="E767" s="2"/>
      <c r="F767" s="2"/>
    </row>
    <row r="768">
      <c r="C768" s="1"/>
      <c r="E768" s="2"/>
      <c r="F768" s="2"/>
    </row>
    <row r="769">
      <c r="C769" s="1"/>
      <c r="E769" s="2"/>
      <c r="F769" s="2"/>
    </row>
    <row r="770">
      <c r="C770" s="1"/>
      <c r="E770" s="2"/>
      <c r="F770" s="2"/>
    </row>
    <row r="771">
      <c r="C771" s="1"/>
      <c r="E771" s="2"/>
      <c r="F771" s="2"/>
    </row>
    <row r="772">
      <c r="C772" s="1"/>
      <c r="E772" s="2"/>
      <c r="F772" s="2"/>
    </row>
    <row r="773">
      <c r="C773" s="1"/>
      <c r="E773" s="2"/>
      <c r="F773" s="2"/>
    </row>
    <row r="774">
      <c r="C774" s="1"/>
      <c r="E774" s="2"/>
      <c r="F774" s="2"/>
    </row>
    <row r="775">
      <c r="C775" s="1"/>
      <c r="E775" s="2"/>
      <c r="F775" s="2"/>
    </row>
    <row r="776">
      <c r="C776" s="1"/>
      <c r="E776" s="2"/>
      <c r="F776" s="2"/>
    </row>
    <row r="777">
      <c r="C777" s="1"/>
      <c r="E777" s="2"/>
      <c r="F777" s="2"/>
    </row>
    <row r="778">
      <c r="C778" s="1"/>
      <c r="E778" s="2"/>
      <c r="F778" s="2"/>
    </row>
    <row r="779">
      <c r="C779" s="1"/>
      <c r="E779" s="2"/>
      <c r="F779" s="2"/>
    </row>
    <row r="780">
      <c r="C780" s="1"/>
      <c r="E780" s="2"/>
      <c r="F780" s="2"/>
    </row>
    <row r="781">
      <c r="C781" s="1"/>
      <c r="E781" s="2"/>
      <c r="F781" s="2"/>
    </row>
    <row r="782">
      <c r="C782" s="1"/>
      <c r="E782" s="2"/>
      <c r="F782" s="2"/>
    </row>
    <row r="783">
      <c r="C783" s="1"/>
      <c r="E783" s="2"/>
      <c r="F783" s="2"/>
    </row>
    <row r="784">
      <c r="C784" s="1"/>
      <c r="E784" s="2"/>
      <c r="F784" s="2"/>
    </row>
    <row r="785">
      <c r="C785" s="1"/>
      <c r="E785" s="2"/>
      <c r="F785" s="2"/>
    </row>
    <row r="786">
      <c r="C786" s="1"/>
      <c r="E786" s="2"/>
      <c r="F786" s="2"/>
    </row>
    <row r="787">
      <c r="C787" s="1"/>
      <c r="E787" s="2"/>
      <c r="F787" s="2"/>
    </row>
    <row r="788">
      <c r="C788" s="1"/>
      <c r="E788" s="2"/>
      <c r="F788" s="2"/>
    </row>
    <row r="789">
      <c r="C789" s="1"/>
      <c r="E789" s="2"/>
      <c r="F789" s="2"/>
    </row>
    <row r="790">
      <c r="C790" s="1"/>
      <c r="E790" s="2"/>
      <c r="F790" s="2"/>
    </row>
    <row r="791">
      <c r="C791" s="1"/>
      <c r="E791" s="2"/>
      <c r="F791" s="2"/>
    </row>
    <row r="792">
      <c r="C792" s="1"/>
      <c r="E792" s="2"/>
      <c r="F792" s="2"/>
    </row>
    <row r="793">
      <c r="C793" s="1"/>
      <c r="E793" s="2"/>
      <c r="F793" s="2"/>
    </row>
    <row r="794">
      <c r="C794" s="1"/>
      <c r="E794" s="2"/>
      <c r="F794" s="2"/>
    </row>
    <row r="795">
      <c r="C795" s="1"/>
      <c r="E795" s="2"/>
      <c r="F795" s="2"/>
    </row>
    <row r="796">
      <c r="C796" s="1"/>
      <c r="E796" s="2"/>
      <c r="F796" s="2"/>
    </row>
    <row r="797">
      <c r="C797" s="1"/>
      <c r="E797" s="2"/>
      <c r="F797" s="2"/>
    </row>
    <row r="798">
      <c r="C798" s="1"/>
      <c r="E798" s="2"/>
      <c r="F798" s="2"/>
    </row>
    <row r="799">
      <c r="C799" s="1"/>
      <c r="E799" s="2"/>
      <c r="F799" s="2"/>
    </row>
    <row r="800">
      <c r="C800" s="1"/>
      <c r="E800" s="2"/>
      <c r="F800" s="2"/>
    </row>
    <row r="801">
      <c r="C801" s="1"/>
      <c r="E801" s="2"/>
      <c r="F801" s="2"/>
    </row>
    <row r="802">
      <c r="C802" s="1"/>
      <c r="E802" s="2"/>
      <c r="F802" s="2"/>
    </row>
    <row r="803">
      <c r="C803" s="1"/>
      <c r="E803" s="2"/>
      <c r="F803" s="2"/>
    </row>
    <row r="804">
      <c r="C804" s="1"/>
      <c r="E804" s="2"/>
      <c r="F804" s="2"/>
    </row>
    <row r="805">
      <c r="C805" s="1"/>
      <c r="E805" s="2"/>
      <c r="F805" s="2"/>
    </row>
    <row r="806">
      <c r="C806" s="1"/>
      <c r="E806" s="2"/>
      <c r="F806" s="2"/>
    </row>
    <row r="807">
      <c r="C807" s="1"/>
      <c r="E807" s="2"/>
      <c r="F807" s="2"/>
    </row>
    <row r="808">
      <c r="C808" s="1"/>
      <c r="E808" s="2"/>
      <c r="F808" s="2"/>
    </row>
    <row r="809">
      <c r="C809" s="1"/>
      <c r="E809" s="2"/>
      <c r="F809" s="2"/>
    </row>
    <row r="810">
      <c r="C810" s="1"/>
      <c r="E810" s="2"/>
      <c r="F810" s="2"/>
    </row>
    <row r="811">
      <c r="C811" s="1"/>
      <c r="E811" s="2"/>
      <c r="F811" s="2"/>
    </row>
    <row r="812">
      <c r="C812" s="1"/>
      <c r="E812" s="2"/>
      <c r="F812" s="2"/>
    </row>
    <row r="813">
      <c r="C813" s="1"/>
      <c r="E813" s="2"/>
      <c r="F813" s="2"/>
    </row>
    <row r="814">
      <c r="C814" s="1"/>
      <c r="E814" s="2"/>
      <c r="F814" s="2"/>
    </row>
    <row r="815">
      <c r="C815" s="1"/>
      <c r="E815" s="2"/>
      <c r="F815" s="2"/>
    </row>
    <row r="816">
      <c r="C816" s="1"/>
      <c r="E816" s="2"/>
      <c r="F816" s="2"/>
    </row>
    <row r="817">
      <c r="C817" s="1"/>
      <c r="E817" s="2"/>
      <c r="F817" s="2"/>
    </row>
    <row r="818">
      <c r="C818" s="1"/>
      <c r="E818" s="2"/>
      <c r="F818" s="2"/>
    </row>
    <row r="819">
      <c r="C819" s="1"/>
      <c r="E819" s="2"/>
      <c r="F819" s="2"/>
    </row>
    <row r="820">
      <c r="C820" s="1"/>
      <c r="E820" s="2"/>
      <c r="F820" s="2"/>
    </row>
    <row r="821">
      <c r="C821" s="1"/>
      <c r="E821" s="2"/>
      <c r="F821" s="2"/>
    </row>
    <row r="822">
      <c r="C822" s="1"/>
      <c r="E822" s="2"/>
      <c r="F822" s="2"/>
    </row>
    <row r="823">
      <c r="C823" s="1"/>
      <c r="E823" s="2"/>
      <c r="F823" s="2"/>
    </row>
    <row r="824">
      <c r="C824" s="1"/>
      <c r="E824" s="2"/>
      <c r="F824" s="2"/>
    </row>
    <row r="825">
      <c r="C825" s="1"/>
      <c r="E825" s="2"/>
      <c r="F825" s="2"/>
    </row>
    <row r="826">
      <c r="C826" s="1"/>
      <c r="E826" s="2"/>
      <c r="F826" s="2"/>
    </row>
    <row r="827">
      <c r="C827" s="1"/>
      <c r="E827" s="2"/>
      <c r="F827" s="2"/>
    </row>
    <row r="828">
      <c r="C828" s="1"/>
      <c r="E828" s="2"/>
      <c r="F828" s="2"/>
    </row>
    <row r="829">
      <c r="C829" s="1"/>
      <c r="E829" s="2"/>
      <c r="F829" s="2"/>
    </row>
    <row r="830">
      <c r="C830" s="1"/>
      <c r="E830" s="2"/>
      <c r="F830" s="2"/>
    </row>
    <row r="831">
      <c r="C831" s="1"/>
      <c r="E831" s="2"/>
      <c r="F831" s="2"/>
    </row>
    <row r="832">
      <c r="C832" s="1"/>
      <c r="E832" s="2"/>
      <c r="F832" s="2"/>
    </row>
    <row r="833">
      <c r="C833" s="1"/>
      <c r="E833" s="2"/>
      <c r="F833" s="2"/>
    </row>
    <row r="834">
      <c r="C834" s="1"/>
      <c r="E834" s="2"/>
      <c r="F834" s="2"/>
    </row>
    <row r="835">
      <c r="C835" s="1"/>
      <c r="E835" s="2"/>
      <c r="F835" s="2"/>
    </row>
    <row r="836">
      <c r="C836" s="1"/>
      <c r="E836" s="2"/>
      <c r="F836" s="2"/>
    </row>
    <row r="837">
      <c r="C837" s="1"/>
      <c r="E837" s="2"/>
      <c r="F837" s="2"/>
    </row>
    <row r="838">
      <c r="C838" s="1"/>
      <c r="E838" s="2"/>
      <c r="F838" s="2"/>
    </row>
    <row r="839">
      <c r="C839" s="1"/>
      <c r="E839" s="2"/>
      <c r="F839" s="2"/>
    </row>
    <row r="840">
      <c r="C840" s="1"/>
      <c r="E840" s="2"/>
      <c r="F840" s="2"/>
    </row>
    <row r="841">
      <c r="C841" s="1"/>
      <c r="E841" s="2"/>
      <c r="F841" s="2"/>
    </row>
    <row r="842">
      <c r="C842" s="1"/>
      <c r="E842" s="2"/>
      <c r="F842" s="2"/>
    </row>
    <row r="843">
      <c r="C843" s="1"/>
      <c r="E843" s="2"/>
      <c r="F843" s="2"/>
    </row>
    <row r="844">
      <c r="C844" s="1"/>
      <c r="E844" s="2"/>
      <c r="F844" s="2"/>
    </row>
    <row r="845">
      <c r="C845" s="1"/>
      <c r="E845" s="2"/>
      <c r="F845" s="2"/>
    </row>
    <row r="846">
      <c r="C846" s="1"/>
      <c r="E846" s="2"/>
      <c r="F846" s="2"/>
    </row>
    <row r="847">
      <c r="C847" s="1"/>
      <c r="E847" s="2"/>
      <c r="F847" s="2"/>
    </row>
    <row r="848">
      <c r="C848" s="1"/>
      <c r="E848" s="2"/>
      <c r="F848" s="2"/>
    </row>
    <row r="849">
      <c r="C849" s="1"/>
      <c r="E849" s="2"/>
      <c r="F849" s="2"/>
    </row>
    <row r="850">
      <c r="C850" s="1"/>
      <c r="E850" s="2"/>
      <c r="F850" s="2"/>
    </row>
    <row r="851">
      <c r="C851" s="1"/>
      <c r="E851" s="2"/>
      <c r="F851" s="2"/>
    </row>
    <row r="852">
      <c r="C852" s="1"/>
      <c r="E852" s="2"/>
      <c r="F852" s="2"/>
    </row>
    <row r="853">
      <c r="C853" s="1"/>
      <c r="E853" s="2"/>
      <c r="F853" s="2"/>
    </row>
    <row r="854">
      <c r="C854" s="1"/>
      <c r="E854" s="2"/>
      <c r="F854" s="2"/>
    </row>
    <row r="855">
      <c r="C855" s="1"/>
      <c r="E855" s="2"/>
      <c r="F855" s="2"/>
    </row>
    <row r="856">
      <c r="C856" s="1"/>
      <c r="E856" s="2"/>
      <c r="F856" s="2"/>
    </row>
    <row r="857">
      <c r="C857" s="1"/>
      <c r="E857" s="2"/>
      <c r="F857" s="2"/>
    </row>
    <row r="858">
      <c r="C858" s="1"/>
      <c r="E858" s="2"/>
      <c r="F858" s="2"/>
    </row>
    <row r="859">
      <c r="C859" s="1"/>
      <c r="E859" s="2"/>
      <c r="F859" s="2"/>
    </row>
    <row r="860">
      <c r="C860" s="1"/>
      <c r="E860" s="2"/>
      <c r="F860" s="2"/>
    </row>
    <row r="861">
      <c r="C861" s="1"/>
      <c r="E861" s="2"/>
      <c r="F861" s="2"/>
    </row>
    <row r="862">
      <c r="C862" s="1"/>
      <c r="E862" s="2"/>
      <c r="F862" s="2"/>
    </row>
    <row r="863">
      <c r="C863" s="1"/>
      <c r="E863" s="2"/>
      <c r="F863" s="2"/>
    </row>
    <row r="864">
      <c r="C864" s="1"/>
      <c r="E864" s="2"/>
      <c r="F864" s="2"/>
    </row>
    <row r="865">
      <c r="C865" s="1"/>
      <c r="E865" s="2"/>
      <c r="F865" s="2"/>
    </row>
    <row r="866">
      <c r="C866" s="1"/>
      <c r="E866" s="2"/>
      <c r="F866" s="2"/>
    </row>
    <row r="867">
      <c r="C867" s="1"/>
      <c r="E867" s="2"/>
      <c r="F867" s="2"/>
    </row>
    <row r="868">
      <c r="C868" s="1"/>
      <c r="E868" s="2"/>
      <c r="F868" s="2"/>
    </row>
    <row r="869">
      <c r="C869" s="1"/>
      <c r="E869" s="2"/>
      <c r="F869" s="2"/>
    </row>
    <row r="870">
      <c r="C870" s="1"/>
      <c r="E870" s="2"/>
      <c r="F870" s="2"/>
    </row>
    <row r="871">
      <c r="C871" s="1"/>
      <c r="E871" s="2"/>
      <c r="F871" s="2"/>
    </row>
    <row r="872">
      <c r="C872" s="1"/>
      <c r="E872" s="2"/>
      <c r="F872" s="2"/>
    </row>
    <row r="873">
      <c r="C873" s="1"/>
      <c r="E873" s="2"/>
      <c r="F873" s="2"/>
    </row>
    <row r="874">
      <c r="C874" s="1"/>
      <c r="E874" s="2"/>
      <c r="F874" s="2"/>
    </row>
    <row r="875">
      <c r="C875" s="1"/>
      <c r="E875" s="2"/>
      <c r="F875" s="2"/>
    </row>
    <row r="876">
      <c r="C876" s="1"/>
      <c r="E876" s="2"/>
      <c r="F876" s="2"/>
    </row>
    <row r="877">
      <c r="C877" s="1"/>
      <c r="E877" s="2"/>
      <c r="F877" s="2"/>
    </row>
    <row r="878">
      <c r="C878" s="1"/>
      <c r="E878" s="2"/>
      <c r="F878" s="2"/>
    </row>
    <row r="879">
      <c r="C879" s="1"/>
      <c r="E879" s="2"/>
      <c r="F879" s="2"/>
    </row>
    <row r="880">
      <c r="C880" s="1"/>
      <c r="E880" s="2"/>
      <c r="F880" s="2"/>
    </row>
    <row r="881">
      <c r="C881" s="1"/>
      <c r="E881" s="2"/>
      <c r="F881" s="2"/>
    </row>
    <row r="882">
      <c r="C882" s="1"/>
      <c r="E882" s="2"/>
      <c r="F882" s="2"/>
    </row>
    <row r="883">
      <c r="C883" s="1"/>
      <c r="E883" s="2"/>
      <c r="F883" s="2"/>
    </row>
    <row r="884">
      <c r="C884" s="1"/>
      <c r="E884" s="2"/>
      <c r="F884" s="2"/>
    </row>
    <row r="885">
      <c r="C885" s="1"/>
      <c r="E885" s="2"/>
      <c r="F885" s="2"/>
    </row>
    <row r="886">
      <c r="C886" s="1"/>
      <c r="E886" s="2"/>
      <c r="F886" s="2"/>
    </row>
    <row r="887">
      <c r="C887" s="1"/>
      <c r="E887" s="2"/>
      <c r="F887" s="2"/>
    </row>
    <row r="888">
      <c r="C888" s="1"/>
      <c r="E888" s="2"/>
      <c r="F888" s="2"/>
    </row>
    <row r="889">
      <c r="C889" s="1"/>
      <c r="E889" s="2"/>
      <c r="F889" s="2"/>
    </row>
    <row r="890">
      <c r="C890" s="1"/>
      <c r="E890" s="2"/>
      <c r="F890" s="2"/>
    </row>
    <row r="891">
      <c r="C891" s="1"/>
      <c r="E891" s="2"/>
      <c r="F891" s="2"/>
    </row>
    <row r="892">
      <c r="C892" s="1"/>
      <c r="E892" s="2"/>
      <c r="F892" s="2"/>
    </row>
    <row r="893">
      <c r="C893" s="1"/>
      <c r="E893" s="2"/>
      <c r="F893" s="2"/>
    </row>
    <row r="894">
      <c r="C894" s="1"/>
      <c r="E894" s="2"/>
      <c r="F894" s="2"/>
    </row>
    <row r="895">
      <c r="C895" s="1"/>
      <c r="E895" s="2"/>
      <c r="F895" s="2"/>
    </row>
    <row r="896">
      <c r="C896" s="1"/>
      <c r="E896" s="2"/>
      <c r="F896" s="2"/>
    </row>
    <row r="897">
      <c r="C897" s="1"/>
      <c r="E897" s="2"/>
      <c r="F897" s="2"/>
    </row>
    <row r="898">
      <c r="C898" s="1"/>
      <c r="E898" s="2"/>
      <c r="F898" s="2"/>
    </row>
    <row r="899">
      <c r="C899" s="1"/>
      <c r="E899" s="2"/>
      <c r="F899" s="2"/>
    </row>
    <row r="900">
      <c r="C900" s="1"/>
      <c r="E900" s="2"/>
      <c r="F900" s="2"/>
    </row>
    <row r="901">
      <c r="C901" s="1"/>
      <c r="E901" s="2"/>
      <c r="F901" s="2"/>
    </row>
    <row r="902">
      <c r="C902" s="1"/>
      <c r="E902" s="2"/>
      <c r="F902" s="2"/>
    </row>
    <row r="903">
      <c r="C903" s="1"/>
      <c r="E903" s="2"/>
      <c r="F903" s="2"/>
    </row>
    <row r="904">
      <c r="C904" s="1"/>
      <c r="E904" s="2"/>
      <c r="F904" s="2"/>
    </row>
    <row r="905">
      <c r="C905" s="1"/>
      <c r="E905" s="2"/>
      <c r="F905" s="2"/>
    </row>
    <row r="906">
      <c r="C906" s="1"/>
      <c r="E906" s="2"/>
      <c r="F906" s="2"/>
    </row>
    <row r="907">
      <c r="C907" s="1"/>
      <c r="E907" s="2"/>
      <c r="F907" s="2"/>
    </row>
    <row r="908">
      <c r="C908" s="1"/>
      <c r="E908" s="2"/>
      <c r="F908" s="2"/>
    </row>
    <row r="909">
      <c r="C909" s="1"/>
      <c r="E909" s="2"/>
      <c r="F909" s="2"/>
    </row>
    <row r="910">
      <c r="C910" s="1"/>
      <c r="E910" s="2"/>
      <c r="F910" s="2"/>
    </row>
    <row r="911">
      <c r="C911" s="1"/>
      <c r="E911" s="2"/>
      <c r="F911" s="2"/>
    </row>
    <row r="912">
      <c r="C912" s="1"/>
      <c r="E912" s="2"/>
      <c r="F912" s="2"/>
    </row>
    <row r="913">
      <c r="C913" s="1"/>
      <c r="E913" s="2"/>
      <c r="F913" s="2"/>
    </row>
    <row r="914">
      <c r="C914" s="1"/>
      <c r="E914" s="2"/>
      <c r="F914" s="2"/>
    </row>
    <row r="915">
      <c r="C915" s="1"/>
      <c r="E915" s="2"/>
      <c r="F915" s="2"/>
    </row>
    <row r="916">
      <c r="C916" s="1"/>
      <c r="E916" s="2"/>
      <c r="F916" s="2"/>
    </row>
    <row r="917">
      <c r="C917" s="1"/>
      <c r="E917" s="2"/>
      <c r="F917" s="2"/>
    </row>
    <row r="918">
      <c r="C918" s="1"/>
      <c r="E918" s="2"/>
      <c r="F918" s="2"/>
    </row>
    <row r="919">
      <c r="C919" s="1"/>
      <c r="E919" s="2"/>
      <c r="F919" s="2"/>
    </row>
    <row r="920">
      <c r="C920" s="1"/>
      <c r="E920" s="2"/>
      <c r="F920" s="2"/>
    </row>
    <row r="921">
      <c r="C921" s="1"/>
      <c r="E921" s="2"/>
      <c r="F921" s="2"/>
    </row>
    <row r="922">
      <c r="C922" s="1"/>
      <c r="E922" s="2"/>
      <c r="F922" s="2"/>
    </row>
    <row r="923">
      <c r="C923" s="1"/>
      <c r="E923" s="2"/>
      <c r="F923" s="2"/>
    </row>
    <row r="924">
      <c r="C924" s="1"/>
      <c r="E924" s="2"/>
      <c r="F924" s="2"/>
    </row>
    <row r="925">
      <c r="C925" s="1"/>
      <c r="E925" s="2"/>
      <c r="F925" s="2"/>
    </row>
    <row r="926">
      <c r="C926" s="1"/>
      <c r="E926" s="2"/>
      <c r="F926" s="2"/>
    </row>
    <row r="927">
      <c r="C927" s="1"/>
      <c r="E927" s="2"/>
      <c r="F927" s="2"/>
    </row>
    <row r="928">
      <c r="C928" s="1"/>
      <c r="E928" s="2"/>
      <c r="F928" s="2"/>
    </row>
    <row r="929">
      <c r="C929" s="1"/>
      <c r="E929" s="2"/>
      <c r="F929" s="2"/>
    </row>
    <row r="930">
      <c r="C930" s="1"/>
      <c r="E930" s="2"/>
      <c r="F930" s="2"/>
    </row>
    <row r="931">
      <c r="C931" s="1"/>
      <c r="E931" s="2"/>
      <c r="F931" s="2"/>
    </row>
    <row r="932">
      <c r="C932" s="1"/>
      <c r="E932" s="2"/>
      <c r="F932" s="2"/>
    </row>
    <row r="933">
      <c r="C933" s="1"/>
      <c r="E933" s="2"/>
      <c r="F933" s="2"/>
    </row>
    <row r="934">
      <c r="C934" s="1"/>
      <c r="E934" s="2"/>
      <c r="F934" s="2"/>
    </row>
    <row r="935">
      <c r="C935" s="1"/>
      <c r="E935" s="2"/>
      <c r="F935" s="2"/>
    </row>
    <row r="936">
      <c r="C936" s="1"/>
      <c r="E936" s="2"/>
      <c r="F936" s="2"/>
    </row>
    <row r="937">
      <c r="C937" s="1"/>
      <c r="E937" s="2"/>
      <c r="F937" s="2"/>
    </row>
    <row r="938">
      <c r="C938" s="1"/>
      <c r="E938" s="2"/>
      <c r="F938" s="2"/>
    </row>
    <row r="939">
      <c r="C939" s="1"/>
      <c r="E939" s="2"/>
      <c r="F939" s="2"/>
    </row>
    <row r="940">
      <c r="C940" s="1"/>
      <c r="E940" s="2"/>
      <c r="F940" s="2"/>
    </row>
    <row r="941">
      <c r="C941" s="1"/>
      <c r="E941" s="2"/>
      <c r="F941" s="2"/>
    </row>
    <row r="942">
      <c r="C942" s="1"/>
      <c r="E942" s="2"/>
      <c r="F942" s="2"/>
    </row>
    <row r="943">
      <c r="C943" s="1"/>
      <c r="E943" s="2"/>
      <c r="F943" s="2"/>
    </row>
    <row r="944">
      <c r="C944" s="1"/>
      <c r="E944" s="2"/>
      <c r="F944" s="2"/>
    </row>
    <row r="945">
      <c r="C945" s="1"/>
      <c r="E945" s="2"/>
      <c r="F945" s="2"/>
    </row>
    <row r="946">
      <c r="C946" s="1"/>
      <c r="E946" s="2"/>
      <c r="F946" s="2"/>
    </row>
    <row r="947">
      <c r="C947" s="1"/>
      <c r="E947" s="2"/>
      <c r="F947" s="2"/>
    </row>
    <row r="948">
      <c r="C948" s="1"/>
      <c r="E948" s="2"/>
      <c r="F948" s="2"/>
    </row>
    <row r="949">
      <c r="C949" s="1"/>
      <c r="E949" s="2"/>
      <c r="F949" s="2"/>
    </row>
    <row r="950">
      <c r="C950" s="1"/>
      <c r="E950" s="2"/>
      <c r="F950" s="2"/>
    </row>
    <row r="951">
      <c r="C951" s="1"/>
      <c r="E951" s="2"/>
      <c r="F951" s="2"/>
    </row>
    <row r="952">
      <c r="C952" s="1"/>
      <c r="E952" s="2"/>
      <c r="F952" s="2"/>
    </row>
    <row r="953">
      <c r="C953" s="1"/>
      <c r="E953" s="2"/>
      <c r="F953" s="2"/>
    </row>
    <row r="954">
      <c r="C954" s="1"/>
      <c r="E954" s="2"/>
      <c r="F954" s="2"/>
    </row>
    <row r="955">
      <c r="C955" s="1"/>
      <c r="E955" s="2"/>
      <c r="F955" s="2"/>
    </row>
    <row r="956">
      <c r="C956" s="1"/>
      <c r="E956" s="2"/>
      <c r="F956" s="2"/>
    </row>
    <row r="957">
      <c r="C957" s="1"/>
      <c r="E957" s="2"/>
      <c r="F957" s="2"/>
    </row>
    <row r="958">
      <c r="C958" s="1"/>
      <c r="E958" s="2"/>
      <c r="F958" s="2"/>
    </row>
    <row r="959">
      <c r="C959" s="1"/>
      <c r="E959" s="2"/>
      <c r="F959" s="2"/>
    </row>
    <row r="960">
      <c r="C960" s="1"/>
      <c r="E960" s="2"/>
      <c r="F960" s="2"/>
    </row>
    <row r="961">
      <c r="C961" s="1"/>
      <c r="E961" s="2"/>
      <c r="F961" s="2"/>
    </row>
    <row r="962">
      <c r="C962" s="1"/>
      <c r="E962" s="2"/>
      <c r="F962" s="2"/>
    </row>
    <row r="963">
      <c r="C963" s="1"/>
      <c r="E963" s="2"/>
      <c r="F963" s="2"/>
    </row>
    <row r="964">
      <c r="C964" s="1"/>
      <c r="E964" s="2"/>
      <c r="F964" s="2"/>
    </row>
    <row r="965">
      <c r="C965" s="1"/>
      <c r="E965" s="2"/>
      <c r="F965" s="2"/>
    </row>
    <row r="966">
      <c r="C966" s="1"/>
      <c r="E966" s="2"/>
      <c r="F966" s="2"/>
    </row>
    <row r="967">
      <c r="C967" s="1"/>
      <c r="E967" s="2"/>
      <c r="F967" s="2"/>
    </row>
    <row r="968">
      <c r="C968" s="1"/>
      <c r="E968" s="2"/>
      <c r="F968" s="2"/>
    </row>
    <row r="969">
      <c r="C969" s="1"/>
      <c r="E969" s="2"/>
      <c r="F969" s="2"/>
    </row>
    <row r="970">
      <c r="C970" s="1"/>
      <c r="E970" s="2"/>
      <c r="F970" s="2"/>
    </row>
    <row r="971">
      <c r="C971" s="1"/>
      <c r="E971" s="2"/>
      <c r="F971" s="2"/>
    </row>
    <row r="972">
      <c r="C972" s="1"/>
      <c r="E972" s="2"/>
      <c r="F972" s="2"/>
    </row>
    <row r="973">
      <c r="C973" s="1"/>
      <c r="E973" s="2"/>
      <c r="F973" s="2"/>
    </row>
    <row r="974">
      <c r="C974" s="1"/>
      <c r="E974" s="2"/>
      <c r="F974" s="2"/>
    </row>
    <row r="975">
      <c r="C975" s="1"/>
      <c r="E975" s="2"/>
      <c r="F975" s="2"/>
    </row>
    <row r="976">
      <c r="C976" s="1"/>
      <c r="E976" s="2"/>
      <c r="F976" s="2"/>
    </row>
    <row r="977">
      <c r="C977" s="1"/>
      <c r="E977" s="2"/>
      <c r="F977" s="2"/>
    </row>
    <row r="978">
      <c r="C978" s="1"/>
      <c r="E978" s="2"/>
      <c r="F978" s="2"/>
    </row>
    <row r="979">
      <c r="C979" s="1"/>
      <c r="E979" s="2"/>
      <c r="F979" s="2"/>
    </row>
    <row r="980">
      <c r="C980" s="1"/>
      <c r="E980" s="2"/>
      <c r="F980" s="2"/>
    </row>
    <row r="981">
      <c r="C981" s="1"/>
      <c r="E981" s="2"/>
      <c r="F981" s="2"/>
    </row>
    <row r="982">
      <c r="C982" s="1"/>
      <c r="E982" s="2"/>
      <c r="F982" s="2"/>
    </row>
    <row r="983">
      <c r="C983" s="1"/>
      <c r="E983" s="2"/>
      <c r="F983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7">
      <c r="G7" s="70"/>
    </row>
    <row r="12">
      <c r="A12" s="8" t="s">
        <v>3</v>
      </c>
      <c r="B12" s="8" t="s">
        <v>4</v>
      </c>
      <c r="C12" s="8" t="s">
        <v>5</v>
      </c>
      <c r="D12" s="9" t="s">
        <v>6</v>
      </c>
      <c r="E12" s="10" t="s">
        <v>7</v>
      </c>
      <c r="F12" s="10" t="s">
        <v>8</v>
      </c>
      <c r="G12" s="8" t="s">
        <v>9</v>
      </c>
      <c r="H12" s="8" t="s">
        <v>10</v>
      </c>
      <c r="I12" s="8" t="s">
        <v>11</v>
      </c>
      <c r="J12" s="10" t="s">
        <v>12</v>
      </c>
      <c r="K12" s="8" t="s">
        <v>13</v>
      </c>
    </row>
    <row r="13">
      <c r="A13" s="14" t="s">
        <v>18</v>
      </c>
      <c r="B13" s="16">
        <v>898727.0</v>
      </c>
      <c r="C13" s="16">
        <v>122864.0</v>
      </c>
      <c r="D13" s="17">
        <v>0.1367</v>
      </c>
      <c r="E13" s="18">
        <v>0.18</v>
      </c>
      <c r="F13" s="80">
        <v>21811.35</v>
      </c>
      <c r="G13" s="15"/>
      <c r="H13" s="19">
        <v>0.1543</v>
      </c>
      <c r="I13" s="18">
        <v>0.98</v>
      </c>
      <c r="J13" s="20"/>
      <c r="K13" s="18"/>
    </row>
    <row r="14">
      <c r="A14" s="14" t="s">
        <v>45</v>
      </c>
      <c r="B14" s="16">
        <v>46255.0</v>
      </c>
      <c r="C14" s="16">
        <v>11011.0</v>
      </c>
      <c r="D14" s="17">
        <v>0.238</v>
      </c>
      <c r="E14" s="18">
        <v>0.29</v>
      </c>
      <c r="F14" s="80">
        <v>3243.84</v>
      </c>
      <c r="G14" s="15"/>
      <c r="H14" s="19">
        <v>0.4025</v>
      </c>
      <c r="I14" s="18">
        <v>0.73</v>
      </c>
      <c r="J14" s="20"/>
      <c r="K14" s="18"/>
    </row>
    <row r="15">
      <c r="A15" s="14"/>
      <c r="B15" s="81">
        <f t="shared" ref="B15:C15" si="1">SUM(B13:B14)</f>
        <v>944982</v>
      </c>
      <c r="C15" s="81">
        <f t="shared" si="1"/>
        <v>133875</v>
      </c>
      <c r="D15" s="9">
        <f>C15/B15</f>
        <v>0.1416693651</v>
      </c>
      <c r="E15" s="10">
        <f>F15/C15</f>
        <v>0.1871536134</v>
      </c>
      <c r="F15" s="82">
        <f>SUM(F13:F14)</f>
        <v>25055.19</v>
      </c>
      <c r="G15" s="81">
        <v>15727.0</v>
      </c>
      <c r="H15" s="83">
        <f>G15/C15*100</f>
        <v>11.74752568</v>
      </c>
      <c r="I15" s="10">
        <f>F15/G15</f>
        <v>1.593132193</v>
      </c>
      <c r="J15" s="10" t="s">
        <v>46</v>
      </c>
      <c r="K15" s="10">
        <v>89.0</v>
      </c>
    </row>
    <row r="16">
      <c r="A16" s="3"/>
      <c r="B16" s="84"/>
      <c r="C16" s="84"/>
      <c r="D16" s="85"/>
      <c r="E16" s="71"/>
      <c r="F16" s="71"/>
      <c r="G16" s="1"/>
      <c r="H16" s="86"/>
      <c r="I16" s="71"/>
      <c r="J16" s="2"/>
      <c r="K16" s="71"/>
    </row>
    <row r="17">
      <c r="A17" s="3"/>
      <c r="B17" s="84"/>
      <c r="C17" s="84"/>
      <c r="D17" s="85"/>
      <c r="E17" s="71"/>
      <c r="F17" s="71"/>
      <c r="G17" s="1"/>
      <c r="H17" s="86"/>
      <c r="I17" s="71"/>
      <c r="J17" s="2"/>
      <c r="K17" s="71"/>
    </row>
    <row r="18">
      <c r="A18" s="3"/>
      <c r="B18" s="84"/>
      <c r="C18" s="84"/>
      <c r="D18" s="85"/>
      <c r="E18" s="71"/>
      <c r="F18" s="71"/>
      <c r="G18" s="1"/>
      <c r="H18" s="86"/>
      <c r="I18" s="71"/>
      <c r="J18" s="2"/>
      <c r="K18" s="71">
        <f>G22*K22</f>
        <v>1627899</v>
      </c>
    </row>
    <row r="19">
      <c r="A19" s="8" t="s">
        <v>3</v>
      </c>
      <c r="B19" s="8" t="s">
        <v>4</v>
      </c>
      <c r="C19" s="8" t="s">
        <v>5</v>
      </c>
      <c r="D19" s="9" t="s">
        <v>6</v>
      </c>
      <c r="E19" s="10" t="s">
        <v>7</v>
      </c>
      <c r="F19" s="10" t="s">
        <v>8</v>
      </c>
      <c r="G19" s="8" t="s">
        <v>9</v>
      </c>
      <c r="H19" s="8" t="s">
        <v>10</v>
      </c>
      <c r="I19" s="8" t="s">
        <v>11</v>
      </c>
      <c r="J19" s="10" t="s">
        <v>12</v>
      </c>
      <c r="K19" s="8" t="s">
        <v>13</v>
      </c>
    </row>
    <row r="20">
      <c r="A20" s="87" t="s">
        <v>19</v>
      </c>
      <c r="B20" s="88">
        <v>1086985.0</v>
      </c>
      <c r="C20" s="88">
        <v>150910.0</v>
      </c>
      <c r="D20" s="89">
        <v>0.1388</v>
      </c>
      <c r="E20" s="90">
        <v>0.22</v>
      </c>
      <c r="F20" s="90">
        <v>33079.72</v>
      </c>
      <c r="G20" s="91"/>
      <c r="H20" s="92">
        <v>0.1152</v>
      </c>
      <c r="I20" s="90">
        <v>1.55</v>
      </c>
      <c r="J20" s="93"/>
      <c r="K20" s="90"/>
    </row>
    <row r="21">
      <c r="A21" s="14" t="s">
        <v>45</v>
      </c>
      <c r="B21" s="16">
        <v>54607.0</v>
      </c>
      <c r="C21" s="16">
        <v>12388.0</v>
      </c>
      <c r="D21" s="17">
        <v>0.2269</v>
      </c>
      <c r="E21" s="18">
        <v>0.28</v>
      </c>
      <c r="F21" s="18">
        <v>3452.15</v>
      </c>
      <c r="G21" s="15"/>
      <c r="H21" s="19">
        <v>0.3308</v>
      </c>
      <c r="I21" s="18">
        <v>0.84</v>
      </c>
      <c r="J21" s="20"/>
      <c r="K21" s="18"/>
    </row>
    <row r="22">
      <c r="A22" s="14"/>
      <c r="B22" s="81">
        <f t="shared" ref="B22:C22" si="2">SUM(B20:B21)</f>
        <v>1141592</v>
      </c>
      <c r="C22" s="81">
        <f t="shared" si="2"/>
        <v>163298</v>
      </c>
      <c r="D22" s="9">
        <f>C22/B22</f>
        <v>0.1430440998</v>
      </c>
      <c r="E22" s="10">
        <f>F22/C22</f>
        <v>0.2237129052</v>
      </c>
      <c r="F22" s="10">
        <f>SUM(F20:F21)</f>
        <v>36531.87</v>
      </c>
      <c r="G22" s="81">
        <v>17889.0</v>
      </c>
      <c r="H22" s="83">
        <f>G22/C22*100</f>
        <v>10.9548188</v>
      </c>
      <c r="I22" s="10">
        <f>F22/G22</f>
        <v>2.042141539</v>
      </c>
      <c r="J22" s="10" t="s">
        <v>47</v>
      </c>
      <c r="K22" s="10">
        <v>91.0</v>
      </c>
    </row>
    <row r="23">
      <c r="A23" s="3"/>
      <c r="B23" s="1"/>
      <c r="C23" s="84"/>
      <c r="D23" s="85"/>
      <c r="E23" s="71"/>
      <c r="F23" s="71"/>
      <c r="G23" s="1"/>
      <c r="H23" s="86"/>
      <c r="I23" s="2"/>
      <c r="J23" s="2"/>
      <c r="K23" s="7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/>
      <c r="E1" s="2"/>
      <c r="F1" s="2"/>
    </row>
    <row r="2">
      <c r="C2" s="1"/>
      <c r="E2" s="2"/>
      <c r="F2" s="2"/>
    </row>
    <row r="3">
      <c r="C3" s="1"/>
      <c r="E3" s="2"/>
      <c r="F3" s="2"/>
    </row>
    <row r="4">
      <c r="C4" s="1"/>
      <c r="E4" s="2"/>
      <c r="F4" s="2"/>
    </row>
    <row r="5">
      <c r="C5" s="1"/>
      <c r="E5" s="2"/>
      <c r="F5" s="2"/>
    </row>
    <row r="6">
      <c r="A6" s="3" t="s">
        <v>48</v>
      </c>
      <c r="C6" s="1"/>
      <c r="E6" s="2"/>
      <c r="F6" s="2"/>
    </row>
    <row r="7">
      <c r="C7" s="1"/>
      <c r="E7" s="2"/>
      <c r="F7" s="2"/>
    </row>
    <row r="8">
      <c r="C8" s="1"/>
      <c r="E8" s="2"/>
      <c r="F8" s="2"/>
    </row>
    <row r="9">
      <c r="A9" s="4" t="s">
        <v>1</v>
      </c>
      <c r="B9" s="5"/>
      <c r="C9" s="5"/>
      <c r="D9" s="6"/>
      <c r="E9" s="7"/>
      <c r="F9" s="7"/>
      <c r="G9" s="5"/>
      <c r="H9" s="5"/>
      <c r="I9" s="5"/>
      <c r="J9" s="7"/>
      <c r="K9" s="5"/>
    </row>
    <row r="10">
      <c r="A10" s="8" t="s">
        <v>3</v>
      </c>
      <c r="B10" s="8" t="s">
        <v>4</v>
      </c>
      <c r="C10" s="8" t="s">
        <v>5</v>
      </c>
      <c r="D10" s="9" t="s">
        <v>6</v>
      </c>
      <c r="E10" s="10" t="s">
        <v>7</v>
      </c>
      <c r="F10" s="10" t="s">
        <v>8</v>
      </c>
      <c r="G10" s="8" t="s">
        <v>9</v>
      </c>
      <c r="H10" s="8" t="s">
        <v>10</v>
      </c>
      <c r="I10" s="8" t="s">
        <v>11</v>
      </c>
      <c r="J10" s="10" t="s">
        <v>12</v>
      </c>
      <c r="K10" s="8" t="s">
        <v>13</v>
      </c>
    </row>
    <row r="11">
      <c r="A11" s="56" t="s">
        <v>16</v>
      </c>
      <c r="B11" s="58">
        <v>328902.0</v>
      </c>
      <c r="C11" s="58">
        <v>124693.0</v>
      </c>
      <c r="D11" s="59">
        <v>0.3791</v>
      </c>
      <c r="E11" s="60">
        <v>0.19</v>
      </c>
      <c r="F11" s="60">
        <v>23858.0</v>
      </c>
      <c r="G11" s="58">
        <v>10370.0</v>
      </c>
      <c r="H11" s="59">
        <v>0.0832</v>
      </c>
      <c r="I11" s="60">
        <v>2.3</v>
      </c>
      <c r="J11" s="60">
        <v>1164558.0</v>
      </c>
      <c r="K11" s="60">
        <v>112.3</v>
      </c>
    </row>
    <row r="12">
      <c r="A12" s="56" t="s">
        <v>17</v>
      </c>
      <c r="B12" s="58">
        <v>378987.0</v>
      </c>
      <c r="C12" s="58">
        <v>128118.0</v>
      </c>
      <c r="D12" s="59">
        <v>0.3381</v>
      </c>
      <c r="E12" s="60">
        <v>0.22</v>
      </c>
      <c r="F12" s="60">
        <v>28350.0</v>
      </c>
      <c r="G12" s="58">
        <v>10986.0</v>
      </c>
      <c r="H12" s="59">
        <v>0.0857</v>
      </c>
      <c r="I12" s="60">
        <v>2.58</v>
      </c>
      <c r="J12" s="60">
        <v>1226831.0</v>
      </c>
      <c r="K12" s="60">
        <v>111.67</v>
      </c>
    </row>
    <row r="13">
      <c r="A13" s="56" t="s">
        <v>18</v>
      </c>
      <c r="B13" s="58">
        <v>415215.0</v>
      </c>
      <c r="C13" s="58">
        <v>132095.0</v>
      </c>
      <c r="D13" s="59">
        <v>0.3181</v>
      </c>
      <c r="E13" s="60">
        <v>0.18</v>
      </c>
      <c r="F13" s="60">
        <v>23542.0</v>
      </c>
      <c r="G13" s="58">
        <v>10631.0</v>
      </c>
      <c r="H13" s="59">
        <v>0.0805</v>
      </c>
      <c r="I13" s="60">
        <v>2.21</v>
      </c>
      <c r="J13" s="60">
        <v>1145698.0</v>
      </c>
      <c r="K13" s="60">
        <v>107.77</v>
      </c>
    </row>
    <row r="14">
      <c r="A14" s="56" t="s">
        <v>19</v>
      </c>
      <c r="B14" s="58">
        <v>449840.0</v>
      </c>
      <c r="C14" s="58">
        <v>132752.0</v>
      </c>
      <c r="D14" s="59">
        <v>0.2951</v>
      </c>
      <c r="E14" s="60">
        <v>0.19</v>
      </c>
      <c r="F14" s="60">
        <v>25567.0</v>
      </c>
      <c r="G14" s="58">
        <v>11111.0</v>
      </c>
      <c r="H14" s="59">
        <v>0.0837</v>
      </c>
      <c r="I14" s="60">
        <v>2.3</v>
      </c>
      <c r="J14" s="60">
        <v>1256276.0</v>
      </c>
      <c r="K14" s="60">
        <v>113.07</v>
      </c>
    </row>
    <row r="15">
      <c r="A15" s="56" t="s">
        <v>20</v>
      </c>
      <c r="B15" s="58">
        <v>512415.0</v>
      </c>
      <c r="C15" s="58">
        <v>153169.0</v>
      </c>
      <c r="D15" s="59">
        <v>0.2989</v>
      </c>
      <c r="E15" s="60">
        <v>0.18</v>
      </c>
      <c r="F15" s="60">
        <v>27441.0</v>
      </c>
      <c r="G15" s="58">
        <v>11673.0</v>
      </c>
      <c r="H15" s="59">
        <v>0.0762</v>
      </c>
      <c r="I15" s="60">
        <v>2.35</v>
      </c>
      <c r="J15" s="60">
        <v>1213862.0</v>
      </c>
      <c r="K15" s="60">
        <v>103.99</v>
      </c>
    </row>
    <row r="16">
      <c r="A16" s="56" t="s">
        <v>21</v>
      </c>
      <c r="B16" s="58">
        <v>387114.0</v>
      </c>
      <c r="C16" s="58">
        <v>112712.0</v>
      </c>
      <c r="D16" s="59">
        <v>0.2912</v>
      </c>
      <c r="E16" s="60">
        <v>0.19</v>
      </c>
      <c r="F16" s="60">
        <v>21894.0</v>
      </c>
      <c r="G16" s="58">
        <v>10043.0</v>
      </c>
      <c r="H16" s="59">
        <v>0.0891</v>
      </c>
      <c r="I16" s="60">
        <v>2.18</v>
      </c>
      <c r="J16" s="60">
        <v>1035826.0</v>
      </c>
      <c r="K16" s="60">
        <v>103.14</v>
      </c>
    </row>
    <row r="17">
      <c r="A17" s="56" t="s">
        <v>22</v>
      </c>
      <c r="B17" s="57">
        <f t="shared" ref="B17:B18" si="1">C17/D17</f>
        <v>210090.1644</v>
      </c>
      <c r="C17" s="57">
        <f t="shared" ref="C17:C18" si="2">F17/E17</f>
        <v>91780.72154</v>
      </c>
      <c r="D17" s="94">
        <v>0.436863485809662</v>
      </c>
      <c r="E17" s="62">
        <v>0.11539569336701307</v>
      </c>
      <c r="F17" s="60">
        <f>2354.54+8236.56</f>
        <v>10591.1</v>
      </c>
      <c r="G17" s="57">
        <f t="shared" ref="G17:G18" si="3">C17*H17</f>
        <v>10082.97714</v>
      </c>
      <c r="H17" s="94">
        <v>0.10985942335083673</v>
      </c>
      <c r="I17" s="62">
        <f t="shared" ref="I17:I22" si="4">F17/G17</f>
        <v>1.05039413</v>
      </c>
      <c r="J17" s="62">
        <f t="shared" ref="J17:J18" si="5">K17*G17</f>
        <v>971571.9395</v>
      </c>
      <c r="K17" s="62">
        <v>96.35764573006934</v>
      </c>
    </row>
    <row r="18">
      <c r="A18" s="56" t="s">
        <v>23</v>
      </c>
      <c r="B18" s="57">
        <f t="shared" si="1"/>
        <v>142060.5997</v>
      </c>
      <c r="C18" s="57">
        <f t="shared" si="2"/>
        <v>65193.92354</v>
      </c>
      <c r="D18" s="94">
        <v>0.4589162910342079</v>
      </c>
      <c r="E18" s="62">
        <v>0.11965378944674579</v>
      </c>
      <c r="F18" s="60">
        <f>1678.37+6122.33</f>
        <v>7800.7</v>
      </c>
      <c r="G18" s="57">
        <f t="shared" si="3"/>
        <v>9125.026643</v>
      </c>
      <c r="H18" s="94">
        <v>0.13996744095698885</v>
      </c>
      <c r="I18" s="62">
        <f t="shared" si="4"/>
        <v>0.8548687368</v>
      </c>
      <c r="J18" s="62">
        <f t="shared" si="5"/>
        <v>886486.5064</v>
      </c>
      <c r="K18" s="62">
        <v>97.14892252373104</v>
      </c>
    </row>
    <row r="19">
      <c r="A19" s="56" t="s">
        <v>24</v>
      </c>
      <c r="B19" s="57">
        <v>449730.0</v>
      </c>
      <c r="C19" s="57">
        <v>63957.0</v>
      </c>
      <c r="D19" s="94">
        <f t="shared" ref="D19:D22" si="6">C19/B19</f>
        <v>0.1422119939</v>
      </c>
      <c r="E19" s="62">
        <v>0.1</v>
      </c>
      <c r="F19" s="60">
        <v>6374.89</v>
      </c>
      <c r="G19" s="57">
        <v>8080.0</v>
      </c>
      <c r="H19" s="94">
        <f t="shared" ref="H19:H22" si="7">G19/C19</f>
        <v>0.1263348812</v>
      </c>
      <c r="I19" s="62">
        <f t="shared" si="4"/>
        <v>0.7889715347</v>
      </c>
      <c r="J19" s="62">
        <v>577337.43</v>
      </c>
      <c r="K19" s="62">
        <f t="shared" ref="K19:K22" si="8">J19/G19</f>
        <v>71.45265223</v>
      </c>
    </row>
    <row r="20">
      <c r="A20" s="56" t="s">
        <v>25</v>
      </c>
      <c r="B20" s="57">
        <v>528827.0</v>
      </c>
      <c r="C20" s="57">
        <v>79181.0</v>
      </c>
      <c r="D20" s="94">
        <f t="shared" si="6"/>
        <v>0.1497294957</v>
      </c>
      <c r="E20" s="62">
        <f>F20/C20</f>
        <v>0.1557797957</v>
      </c>
      <c r="F20" s="60">
        <v>12334.8</v>
      </c>
      <c r="G20" s="57">
        <v>12104.0</v>
      </c>
      <c r="H20" s="94">
        <f t="shared" si="7"/>
        <v>0.152864955</v>
      </c>
      <c r="I20" s="62">
        <f t="shared" si="4"/>
        <v>1.019068077</v>
      </c>
      <c r="J20" s="62">
        <v>977678.39</v>
      </c>
      <c r="K20" s="62">
        <f t="shared" si="8"/>
        <v>80.77316507</v>
      </c>
    </row>
    <row r="21">
      <c r="A21" s="56" t="s">
        <v>26</v>
      </c>
      <c r="B21" s="57">
        <v>467844.0</v>
      </c>
      <c r="C21" s="57">
        <v>72541.0</v>
      </c>
      <c r="D21" s="94">
        <f t="shared" si="6"/>
        <v>0.1550538214</v>
      </c>
      <c r="E21" s="62">
        <v>0.1</v>
      </c>
      <c r="F21" s="60">
        <v>11629.6</v>
      </c>
      <c r="G21" s="57">
        <v>11455.0</v>
      </c>
      <c r="H21" s="94">
        <f t="shared" si="7"/>
        <v>0.1579106988</v>
      </c>
      <c r="I21" s="62">
        <f t="shared" si="4"/>
        <v>1.015242252</v>
      </c>
      <c r="J21" s="62">
        <v>954690.9</v>
      </c>
      <c r="K21" s="62">
        <f t="shared" si="8"/>
        <v>83.3427237</v>
      </c>
    </row>
    <row r="22">
      <c r="A22" s="56" t="s">
        <v>27</v>
      </c>
      <c r="B22" s="57">
        <v>1026526.0</v>
      </c>
      <c r="C22" s="57">
        <v>92954.0</v>
      </c>
      <c r="D22" s="94">
        <f t="shared" si="6"/>
        <v>0.09055201719</v>
      </c>
      <c r="E22" s="62">
        <v>0.1</v>
      </c>
      <c r="F22" s="60">
        <v>25026.24</v>
      </c>
      <c r="G22" s="57">
        <v>14051.0</v>
      </c>
      <c r="H22" s="94">
        <f t="shared" si="7"/>
        <v>0.1511607892</v>
      </c>
      <c r="I22" s="62">
        <f t="shared" si="4"/>
        <v>1.781100278</v>
      </c>
      <c r="J22" s="62">
        <v>1252481.52</v>
      </c>
      <c r="K22" s="62">
        <f t="shared" si="8"/>
        <v>89.13824781</v>
      </c>
    </row>
    <row r="23">
      <c r="A23" s="8" t="s">
        <v>28</v>
      </c>
      <c r="B23" s="34">
        <v>4699010.759837774</v>
      </c>
      <c r="C23" s="34">
        <v>1495358.5044033371</v>
      </c>
      <c r="D23" s="35">
        <v>0.3182283635492169</v>
      </c>
      <c r="E23" s="36">
        <v>0.15046562009054043</v>
      </c>
      <c r="F23" s="36">
        <f>sum(F11:F22)</f>
        <v>224409.33</v>
      </c>
      <c r="G23" s="34">
        <v>108011.59610996014</v>
      </c>
      <c r="H23" s="35">
        <v>0.07223123805555767</v>
      </c>
      <c r="I23" s="36">
        <v>2.083110080084847</v>
      </c>
      <c r="J23" s="36">
        <v>1.0154612001833761E7</v>
      </c>
      <c r="K23" s="36">
        <v>94.01409077869712</v>
      </c>
    </row>
    <row r="25">
      <c r="C25" s="1"/>
      <c r="E25" s="2"/>
      <c r="F25" s="2"/>
    </row>
    <row r="26">
      <c r="C26" s="1"/>
      <c r="E26" s="2"/>
      <c r="F26" s="2"/>
    </row>
    <row r="27">
      <c r="C27" s="1"/>
      <c r="E27" s="2"/>
      <c r="F27" s="2"/>
    </row>
    <row r="28">
      <c r="C28" s="1"/>
      <c r="E28" s="2"/>
      <c r="F28" s="2"/>
    </row>
    <row r="29">
      <c r="C29" s="1"/>
      <c r="E29" s="2"/>
      <c r="F29" s="2"/>
    </row>
    <row r="30">
      <c r="C30" s="1"/>
      <c r="E30" s="2"/>
      <c r="F30" s="2"/>
    </row>
    <row r="31">
      <c r="C31" s="1"/>
      <c r="E31" s="2"/>
      <c r="F31" s="2"/>
    </row>
    <row r="32">
      <c r="C32" s="1"/>
      <c r="E32" s="2"/>
      <c r="F32" s="2"/>
    </row>
    <row r="33">
      <c r="C33" s="1"/>
      <c r="D33" s="23"/>
      <c r="E33" s="2"/>
      <c r="F33" s="2"/>
      <c r="J33" s="2"/>
    </row>
    <row r="34">
      <c r="B34" s="1"/>
      <c r="C34" s="1"/>
      <c r="D34" s="23"/>
      <c r="E34" s="2"/>
      <c r="F34" s="2"/>
      <c r="G34" s="1"/>
      <c r="H34" s="23"/>
      <c r="I34" s="2"/>
      <c r="J34" s="2"/>
      <c r="K34" s="2"/>
    </row>
    <row r="35">
      <c r="B35" s="1"/>
      <c r="C35" s="1"/>
      <c r="D35" s="23"/>
      <c r="E35" s="2"/>
      <c r="F35" s="2"/>
      <c r="G35" s="1"/>
      <c r="H35" s="23"/>
      <c r="I35" s="2"/>
      <c r="J35" s="2"/>
      <c r="K35" s="2"/>
    </row>
    <row r="36">
      <c r="B36" s="1"/>
      <c r="C36" s="1"/>
      <c r="D36" s="23"/>
      <c r="E36" s="2"/>
      <c r="F36" s="2"/>
      <c r="G36" s="1"/>
      <c r="H36" s="23"/>
      <c r="I36" s="2"/>
      <c r="J36" s="2"/>
      <c r="K36" s="2"/>
    </row>
    <row r="37">
      <c r="B37" s="1"/>
      <c r="C37" s="1"/>
      <c r="D37" s="23"/>
      <c r="E37" s="2"/>
      <c r="F37" s="2"/>
      <c r="G37" s="1"/>
      <c r="H37" s="23"/>
      <c r="I37" s="2"/>
      <c r="J37" s="2"/>
      <c r="K37" s="2"/>
    </row>
    <row r="38">
      <c r="B38" s="1"/>
      <c r="C38" s="1"/>
      <c r="D38" s="23"/>
      <c r="E38" s="2"/>
      <c r="F38" s="2"/>
      <c r="G38" s="1"/>
      <c r="H38" s="23"/>
      <c r="I38" s="2"/>
      <c r="J38" s="2"/>
      <c r="K38" s="2"/>
    </row>
    <row r="39">
      <c r="B39" s="1"/>
      <c r="C39" s="1"/>
      <c r="D39" s="23"/>
      <c r="E39" s="2"/>
      <c r="F39" s="2"/>
      <c r="G39" s="1"/>
      <c r="H39" s="23"/>
      <c r="I39" s="2"/>
      <c r="J39" s="2"/>
      <c r="K39" s="2"/>
    </row>
    <row r="40">
      <c r="B40" s="1"/>
      <c r="C40" s="1"/>
      <c r="D40" s="23"/>
      <c r="E40" s="2"/>
      <c r="F40" s="2"/>
      <c r="G40" s="1"/>
      <c r="H40" s="23"/>
      <c r="I40" s="2"/>
      <c r="J40" s="2"/>
      <c r="K40" s="2"/>
    </row>
    <row r="41">
      <c r="B41" s="1"/>
      <c r="C41" s="1"/>
      <c r="D41" s="23"/>
      <c r="E41" s="2"/>
      <c r="F41" s="2"/>
      <c r="G41" s="1"/>
      <c r="H41" s="23"/>
      <c r="I41" s="2"/>
      <c r="J41" s="2"/>
      <c r="K41" s="2"/>
    </row>
    <row r="42">
      <c r="B42" s="1"/>
      <c r="C42" s="1"/>
      <c r="D42" s="23"/>
      <c r="E42" s="2"/>
      <c r="F42" s="2"/>
      <c r="G42" s="1"/>
      <c r="H42" s="23"/>
      <c r="I42" s="2"/>
      <c r="J42" s="2"/>
      <c r="K42" s="2"/>
    </row>
    <row r="43">
      <c r="B43" s="1"/>
      <c r="C43" s="1"/>
      <c r="D43" s="23"/>
      <c r="E43" s="2"/>
      <c r="F43" s="2"/>
      <c r="G43" s="1"/>
      <c r="H43" s="23"/>
      <c r="I43" s="2"/>
      <c r="J43" s="2"/>
      <c r="K43" s="2"/>
    </row>
    <row r="44">
      <c r="B44" s="1"/>
      <c r="C44" s="1"/>
      <c r="D44" s="23"/>
      <c r="E44" s="2"/>
      <c r="F44" s="2"/>
      <c r="G44" s="1"/>
      <c r="H44" s="23"/>
      <c r="I44" s="2"/>
      <c r="J44" s="2"/>
      <c r="K44" s="2"/>
    </row>
    <row r="45">
      <c r="B45" s="1"/>
      <c r="C45" s="1"/>
      <c r="D45" s="23"/>
      <c r="E45" s="2"/>
      <c r="F45" s="2"/>
      <c r="G45" s="1"/>
      <c r="H45" s="23"/>
      <c r="I45" s="2"/>
      <c r="J45" s="2"/>
      <c r="K45" s="2"/>
    </row>
    <row r="46">
      <c r="B46" s="1"/>
      <c r="C46" s="1"/>
      <c r="D46" s="23"/>
      <c r="E46" s="2"/>
      <c r="F46" s="2"/>
      <c r="G46" s="1"/>
      <c r="H46" s="23"/>
      <c r="I46" s="2"/>
      <c r="J46" s="2"/>
      <c r="K46" s="2"/>
    </row>
    <row r="47">
      <c r="C47" s="1"/>
      <c r="E47" s="2"/>
      <c r="F47" s="2"/>
    </row>
    <row r="48">
      <c r="C48" s="1"/>
      <c r="E48" s="2"/>
      <c r="F48" s="2"/>
    </row>
    <row r="49">
      <c r="C49" s="1"/>
      <c r="E49" s="2"/>
      <c r="F49" s="2"/>
    </row>
    <row r="50">
      <c r="C50" s="1"/>
      <c r="E50" s="2"/>
      <c r="F50" s="2"/>
    </row>
    <row r="51">
      <c r="C51" s="1"/>
      <c r="E51" s="2"/>
      <c r="F51" s="2"/>
    </row>
    <row r="52">
      <c r="C52" s="1"/>
      <c r="E52" s="2"/>
      <c r="F52" s="2"/>
    </row>
    <row r="53">
      <c r="C53" s="1"/>
      <c r="E53" s="2"/>
      <c r="F53" s="2"/>
    </row>
    <row r="54">
      <c r="C54" s="1"/>
      <c r="E54" s="2"/>
      <c r="F54" s="2"/>
    </row>
    <row r="55">
      <c r="C55" s="1"/>
      <c r="E55" s="2"/>
      <c r="F55" s="2"/>
    </row>
    <row r="56">
      <c r="C56" s="1"/>
      <c r="E56" s="2"/>
      <c r="F56" s="2"/>
    </row>
    <row r="57">
      <c r="C57" s="1"/>
      <c r="E57" s="2"/>
      <c r="F57" s="2"/>
    </row>
    <row r="58">
      <c r="C58" s="1"/>
      <c r="E58" s="2"/>
      <c r="F58" s="2"/>
    </row>
    <row r="59">
      <c r="C59" s="1"/>
      <c r="E59" s="2"/>
      <c r="F59" s="2"/>
    </row>
    <row r="60">
      <c r="C60" s="1"/>
      <c r="E60" s="2"/>
      <c r="F60" s="2"/>
    </row>
    <row r="61">
      <c r="C61" s="1"/>
      <c r="E61" s="2"/>
      <c r="F61" s="2"/>
    </row>
    <row r="62">
      <c r="C62" s="1"/>
      <c r="E62" s="2"/>
      <c r="F62" s="2"/>
    </row>
    <row r="63">
      <c r="C63" s="1"/>
      <c r="E63" s="2"/>
      <c r="F63" s="2"/>
    </row>
    <row r="64">
      <c r="C64" s="1"/>
      <c r="E64" s="2"/>
      <c r="F64" s="2"/>
    </row>
    <row r="65">
      <c r="C65" s="1"/>
      <c r="E65" s="2"/>
      <c r="F65" s="2"/>
    </row>
    <row r="66">
      <c r="C66" s="1"/>
      <c r="E66" s="2"/>
      <c r="F66" s="2"/>
    </row>
    <row r="67">
      <c r="C67" s="1"/>
      <c r="E67" s="2"/>
      <c r="F67" s="2"/>
    </row>
    <row r="68">
      <c r="C68" s="1"/>
      <c r="E68" s="2"/>
      <c r="F68" s="2"/>
    </row>
    <row r="69">
      <c r="C69" s="1"/>
      <c r="E69" s="2"/>
      <c r="F69" s="2"/>
    </row>
    <row r="70">
      <c r="C70" s="1"/>
      <c r="E70" s="2"/>
      <c r="F70" s="2"/>
    </row>
    <row r="71">
      <c r="C71" s="1"/>
      <c r="E71" s="2"/>
      <c r="F71" s="2"/>
    </row>
    <row r="72">
      <c r="C72" s="1"/>
      <c r="E72" s="2"/>
      <c r="F72" s="2"/>
    </row>
    <row r="73">
      <c r="C73" s="1"/>
      <c r="E73" s="2"/>
      <c r="F73" s="2"/>
    </row>
    <row r="74">
      <c r="C74" s="1"/>
      <c r="E74" s="2"/>
      <c r="F74" s="2"/>
    </row>
    <row r="75">
      <c r="C75" s="1"/>
      <c r="E75" s="2"/>
      <c r="F75" s="2"/>
    </row>
    <row r="76">
      <c r="C76" s="1"/>
      <c r="E76" s="2"/>
      <c r="F76" s="2"/>
    </row>
    <row r="77">
      <c r="C77" s="1"/>
      <c r="E77" s="2"/>
      <c r="F77" s="2"/>
    </row>
    <row r="78">
      <c r="C78" s="1"/>
      <c r="E78" s="2"/>
      <c r="F78" s="2"/>
    </row>
    <row r="79">
      <c r="C79" s="1"/>
      <c r="E79" s="2"/>
      <c r="F79" s="2"/>
    </row>
    <row r="80">
      <c r="C80" s="1"/>
      <c r="E80" s="2"/>
      <c r="F80" s="2"/>
    </row>
    <row r="81">
      <c r="C81" s="1"/>
      <c r="E81" s="2"/>
      <c r="F81" s="2"/>
    </row>
    <row r="82">
      <c r="C82" s="1"/>
      <c r="E82" s="2"/>
      <c r="F82" s="2"/>
    </row>
    <row r="83">
      <c r="C83" s="1"/>
      <c r="E83" s="2"/>
      <c r="F83" s="2"/>
    </row>
    <row r="84">
      <c r="C84" s="1"/>
      <c r="E84" s="2"/>
      <c r="F84" s="2"/>
    </row>
    <row r="85">
      <c r="C85" s="1"/>
      <c r="E85" s="2"/>
      <c r="F85" s="2"/>
    </row>
    <row r="86">
      <c r="C86" s="1"/>
      <c r="E86" s="2"/>
      <c r="F86" s="2"/>
    </row>
    <row r="87">
      <c r="C87" s="1"/>
      <c r="E87" s="2"/>
      <c r="F87" s="2"/>
    </row>
    <row r="88">
      <c r="C88" s="1"/>
      <c r="E88" s="2"/>
      <c r="F88" s="2"/>
    </row>
    <row r="89">
      <c r="C89" s="1"/>
      <c r="E89" s="2"/>
      <c r="F89" s="2"/>
    </row>
    <row r="90">
      <c r="C90" s="1"/>
      <c r="E90" s="2"/>
      <c r="F90" s="2"/>
    </row>
    <row r="91">
      <c r="C91" s="1"/>
      <c r="E91" s="2"/>
      <c r="F91" s="2"/>
    </row>
    <row r="92">
      <c r="C92" s="1"/>
      <c r="E92" s="2"/>
      <c r="F92" s="2"/>
    </row>
    <row r="93">
      <c r="C93" s="1"/>
      <c r="E93" s="2"/>
      <c r="F93" s="2"/>
    </row>
    <row r="94">
      <c r="C94" s="1"/>
      <c r="E94" s="2"/>
      <c r="F94" s="2"/>
    </row>
    <row r="95">
      <c r="C95" s="1"/>
      <c r="E95" s="2"/>
      <c r="F95" s="2"/>
    </row>
    <row r="96">
      <c r="C96" s="1"/>
      <c r="E96" s="2"/>
      <c r="F96" s="2"/>
    </row>
    <row r="97">
      <c r="C97" s="1"/>
      <c r="E97" s="2"/>
      <c r="F97" s="2"/>
    </row>
    <row r="98">
      <c r="C98" s="1"/>
      <c r="E98" s="2"/>
      <c r="F98" s="2"/>
    </row>
    <row r="99">
      <c r="C99" s="1"/>
      <c r="E99" s="2"/>
      <c r="F99" s="2"/>
    </row>
    <row r="100">
      <c r="C100" s="1"/>
      <c r="E100" s="2"/>
      <c r="F100" s="2"/>
    </row>
    <row r="101">
      <c r="C101" s="1"/>
      <c r="E101" s="2"/>
      <c r="F101" s="2"/>
    </row>
    <row r="102">
      <c r="C102" s="1"/>
      <c r="E102" s="2"/>
      <c r="F102" s="2"/>
    </row>
    <row r="103">
      <c r="C103" s="1"/>
      <c r="E103" s="2"/>
      <c r="F103" s="2"/>
    </row>
    <row r="104">
      <c r="C104" s="1"/>
      <c r="E104" s="2"/>
      <c r="F104" s="2"/>
    </row>
    <row r="105">
      <c r="C105" s="1"/>
      <c r="E105" s="2"/>
      <c r="F105" s="2"/>
    </row>
    <row r="106">
      <c r="C106" s="1"/>
      <c r="E106" s="2"/>
      <c r="F106" s="2"/>
    </row>
    <row r="107">
      <c r="C107" s="1"/>
      <c r="E107" s="2"/>
      <c r="F107" s="2"/>
    </row>
    <row r="108">
      <c r="C108" s="1"/>
      <c r="E108" s="2"/>
      <c r="F108" s="2"/>
    </row>
    <row r="109">
      <c r="C109" s="1"/>
      <c r="E109" s="2"/>
      <c r="F109" s="2"/>
    </row>
    <row r="110">
      <c r="C110" s="1"/>
      <c r="E110" s="2"/>
      <c r="F110" s="2"/>
    </row>
    <row r="111">
      <c r="C111" s="1"/>
      <c r="E111" s="2"/>
      <c r="F111" s="2"/>
    </row>
    <row r="112">
      <c r="C112" s="1"/>
      <c r="E112" s="2"/>
      <c r="F112" s="2"/>
    </row>
    <row r="113">
      <c r="C113" s="1"/>
      <c r="E113" s="2"/>
      <c r="F113" s="2"/>
    </row>
    <row r="114">
      <c r="C114" s="1"/>
      <c r="E114" s="2"/>
      <c r="F114" s="2"/>
    </row>
    <row r="115">
      <c r="C115" s="1"/>
      <c r="E115" s="2"/>
      <c r="F115" s="2"/>
    </row>
    <row r="116">
      <c r="C116" s="1"/>
      <c r="E116" s="2"/>
      <c r="F116" s="2"/>
    </row>
    <row r="117">
      <c r="C117" s="1"/>
      <c r="E117" s="2"/>
      <c r="F117" s="2"/>
    </row>
    <row r="118">
      <c r="C118" s="1"/>
      <c r="E118" s="2"/>
      <c r="F118" s="2"/>
    </row>
    <row r="119">
      <c r="C119" s="1"/>
      <c r="E119" s="2"/>
      <c r="F119" s="2"/>
    </row>
    <row r="120">
      <c r="C120" s="1"/>
      <c r="E120" s="2"/>
      <c r="F120" s="2"/>
    </row>
    <row r="121">
      <c r="C121" s="1"/>
      <c r="E121" s="2"/>
      <c r="F121" s="2"/>
    </row>
    <row r="122">
      <c r="C122" s="1"/>
      <c r="E122" s="2"/>
      <c r="F122" s="2"/>
    </row>
    <row r="123">
      <c r="C123" s="1"/>
      <c r="E123" s="2"/>
      <c r="F123" s="2"/>
    </row>
    <row r="124">
      <c r="C124" s="1"/>
      <c r="E124" s="2"/>
      <c r="F124" s="2"/>
    </row>
    <row r="125">
      <c r="C125" s="1"/>
      <c r="E125" s="2"/>
      <c r="F125" s="2"/>
    </row>
    <row r="126">
      <c r="C126" s="1"/>
      <c r="E126" s="2"/>
      <c r="F126" s="2"/>
    </row>
    <row r="127">
      <c r="C127" s="1"/>
      <c r="E127" s="2"/>
      <c r="F127" s="2"/>
    </row>
    <row r="128">
      <c r="C128" s="1"/>
      <c r="E128" s="2"/>
      <c r="F128" s="2"/>
    </row>
    <row r="129">
      <c r="C129" s="1"/>
      <c r="E129" s="2"/>
      <c r="F129" s="2"/>
    </row>
    <row r="130">
      <c r="C130" s="1"/>
      <c r="E130" s="2"/>
      <c r="F130" s="2"/>
    </row>
    <row r="131">
      <c r="C131" s="1"/>
      <c r="E131" s="2"/>
      <c r="F131" s="2"/>
    </row>
    <row r="132">
      <c r="C132" s="1"/>
      <c r="E132" s="2"/>
      <c r="F132" s="2"/>
    </row>
    <row r="133">
      <c r="C133" s="1"/>
      <c r="E133" s="2"/>
      <c r="F133" s="2"/>
    </row>
    <row r="134">
      <c r="C134" s="1"/>
      <c r="E134" s="2"/>
      <c r="F134" s="2"/>
    </row>
    <row r="135">
      <c r="C135" s="1"/>
      <c r="E135" s="2"/>
      <c r="F135" s="2"/>
    </row>
    <row r="136">
      <c r="C136" s="1"/>
      <c r="E136" s="2"/>
      <c r="F136" s="2"/>
    </row>
    <row r="137">
      <c r="C137" s="1"/>
      <c r="E137" s="2"/>
      <c r="F137" s="2"/>
    </row>
    <row r="138">
      <c r="C138" s="1"/>
      <c r="E138" s="2"/>
      <c r="F138" s="2"/>
    </row>
    <row r="139">
      <c r="C139" s="1"/>
      <c r="E139" s="2"/>
      <c r="F139" s="2"/>
    </row>
    <row r="140">
      <c r="C140" s="1"/>
      <c r="E140" s="2"/>
      <c r="F140" s="2"/>
    </row>
    <row r="141">
      <c r="C141" s="1"/>
      <c r="E141" s="2"/>
      <c r="F141" s="2"/>
    </row>
    <row r="142">
      <c r="C142" s="1"/>
      <c r="E142" s="2"/>
      <c r="F142" s="2"/>
    </row>
    <row r="143">
      <c r="C143" s="1"/>
      <c r="E143" s="2"/>
      <c r="F143" s="2"/>
    </row>
    <row r="144">
      <c r="C144" s="1"/>
      <c r="E144" s="2"/>
      <c r="F144" s="2"/>
    </row>
    <row r="145">
      <c r="C145" s="1"/>
      <c r="E145" s="2"/>
      <c r="F145" s="2"/>
    </row>
    <row r="146">
      <c r="C146" s="1"/>
      <c r="E146" s="2"/>
      <c r="F146" s="2"/>
    </row>
    <row r="147">
      <c r="C147" s="1"/>
      <c r="E147" s="2"/>
      <c r="F147" s="2"/>
    </row>
    <row r="148">
      <c r="C148" s="1"/>
      <c r="E148" s="2"/>
      <c r="F148" s="2"/>
    </row>
    <row r="149">
      <c r="C149" s="1"/>
      <c r="E149" s="2"/>
      <c r="F149" s="2"/>
    </row>
    <row r="150">
      <c r="C150" s="1"/>
      <c r="E150" s="2"/>
      <c r="F150" s="2"/>
    </row>
    <row r="151">
      <c r="C151" s="1"/>
      <c r="E151" s="2"/>
      <c r="F151" s="2"/>
    </row>
    <row r="152">
      <c r="C152" s="1"/>
      <c r="E152" s="2"/>
      <c r="F152" s="2"/>
    </row>
    <row r="153">
      <c r="C153" s="1"/>
      <c r="E153" s="2"/>
      <c r="F153" s="2"/>
    </row>
    <row r="154">
      <c r="C154" s="1"/>
      <c r="E154" s="2"/>
      <c r="F154" s="2"/>
    </row>
    <row r="155">
      <c r="C155" s="1"/>
      <c r="E155" s="2"/>
      <c r="F155" s="2"/>
    </row>
    <row r="156">
      <c r="C156" s="1"/>
      <c r="E156" s="2"/>
      <c r="F156" s="2"/>
    </row>
    <row r="157">
      <c r="C157" s="1"/>
      <c r="E157" s="2"/>
      <c r="F157" s="2"/>
    </row>
    <row r="158">
      <c r="C158" s="1"/>
      <c r="E158" s="2"/>
      <c r="F158" s="2"/>
    </row>
    <row r="159">
      <c r="C159" s="1"/>
      <c r="E159" s="2"/>
      <c r="F159" s="2"/>
    </row>
    <row r="160">
      <c r="C160" s="1"/>
      <c r="E160" s="2"/>
      <c r="F160" s="2"/>
    </row>
    <row r="161">
      <c r="C161" s="1"/>
      <c r="E161" s="2"/>
      <c r="F161" s="2"/>
    </row>
    <row r="162">
      <c r="C162" s="1"/>
      <c r="E162" s="2"/>
      <c r="F162" s="2"/>
    </row>
    <row r="163">
      <c r="C163" s="1"/>
      <c r="E163" s="2"/>
      <c r="F163" s="2"/>
    </row>
    <row r="164">
      <c r="C164" s="1"/>
      <c r="E164" s="2"/>
      <c r="F164" s="2"/>
    </row>
    <row r="165">
      <c r="C165" s="1"/>
      <c r="E165" s="2"/>
      <c r="F165" s="2"/>
    </row>
    <row r="166">
      <c r="C166" s="1"/>
      <c r="E166" s="2"/>
      <c r="F166" s="2"/>
    </row>
    <row r="167">
      <c r="C167" s="1"/>
      <c r="E167" s="2"/>
      <c r="F167" s="2"/>
    </row>
    <row r="168">
      <c r="C168" s="1"/>
      <c r="E168" s="2"/>
      <c r="F168" s="2"/>
    </row>
    <row r="169">
      <c r="C169" s="1"/>
      <c r="E169" s="2"/>
      <c r="F169" s="2"/>
    </row>
    <row r="170">
      <c r="C170" s="1"/>
      <c r="E170" s="2"/>
      <c r="F170" s="2"/>
    </row>
    <row r="171">
      <c r="C171" s="1"/>
      <c r="E171" s="2"/>
      <c r="F171" s="2"/>
    </row>
    <row r="172">
      <c r="C172" s="1"/>
      <c r="E172" s="2"/>
      <c r="F172" s="2"/>
    </row>
    <row r="173">
      <c r="C173" s="1"/>
      <c r="E173" s="2"/>
      <c r="F173" s="2"/>
    </row>
    <row r="174">
      <c r="C174" s="1"/>
      <c r="E174" s="2"/>
      <c r="F174" s="2"/>
    </row>
    <row r="175">
      <c r="C175" s="1"/>
      <c r="E175" s="2"/>
      <c r="F175" s="2"/>
    </row>
    <row r="176">
      <c r="C176" s="1"/>
      <c r="E176" s="2"/>
      <c r="F176" s="2"/>
    </row>
    <row r="177">
      <c r="C177" s="1"/>
      <c r="E177" s="2"/>
      <c r="F177" s="2"/>
    </row>
    <row r="178">
      <c r="C178" s="1"/>
      <c r="E178" s="2"/>
      <c r="F178" s="2"/>
    </row>
    <row r="179">
      <c r="C179" s="1"/>
      <c r="E179" s="2"/>
      <c r="F179" s="2"/>
    </row>
    <row r="180">
      <c r="C180" s="1"/>
      <c r="E180" s="2"/>
      <c r="F180" s="2"/>
    </row>
    <row r="181">
      <c r="C181" s="1"/>
      <c r="E181" s="2"/>
      <c r="F181" s="2"/>
    </row>
    <row r="182">
      <c r="C182" s="1"/>
      <c r="E182" s="2"/>
      <c r="F182" s="2"/>
    </row>
    <row r="183">
      <c r="C183" s="1"/>
      <c r="E183" s="2"/>
      <c r="F183" s="2"/>
    </row>
    <row r="184">
      <c r="C184" s="1"/>
      <c r="E184" s="2"/>
      <c r="F184" s="2"/>
    </row>
    <row r="185">
      <c r="C185" s="1"/>
      <c r="E185" s="2"/>
      <c r="F185" s="2"/>
    </row>
    <row r="186">
      <c r="C186" s="1"/>
      <c r="E186" s="2"/>
      <c r="F186" s="2"/>
    </row>
    <row r="187">
      <c r="C187" s="1"/>
      <c r="E187" s="2"/>
      <c r="F187" s="2"/>
    </row>
    <row r="188">
      <c r="C188" s="1"/>
      <c r="E188" s="2"/>
      <c r="F188" s="2"/>
    </row>
    <row r="189">
      <c r="C189" s="1"/>
      <c r="E189" s="2"/>
      <c r="F189" s="2"/>
    </row>
    <row r="190">
      <c r="C190" s="1"/>
      <c r="E190" s="2"/>
      <c r="F190" s="2"/>
    </row>
    <row r="191">
      <c r="C191" s="1"/>
      <c r="E191" s="2"/>
      <c r="F191" s="2"/>
    </row>
    <row r="192">
      <c r="C192" s="1"/>
      <c r="E192" s="2"/>
      <c r="F192" s="2"/>
    </row>
    <row r="193">
      <c r="C193" s="1"/>
      <c r="E193" s="2"/>
      <c r="F193" s="2"/>
    </row>
    <row r="194">
      <c r="C194" s="1"/>
      <c r="E194" s="2"/>
      <c r="F194" s="2"/>
    </row>
    <row r="195">
      <c r="C195" s="1"/>
      <c r="E195" s="2"/>
      <c r="F195" s="2"/>
    </row>
    <row r="196">
      <c r="C196" s="1"/>
      <c r="E196" s="2"/>
      <c r="F196" s="2"/>
    </row>
    <row r="197">
      <c r="C197" s="1"/>
      <c r="E197" s="2"/>
      <c r="F197" s="2"/>
    </row>
    <row r="198">
      <c r="C198" s="1"/>
      <c r="E198" s="2"/>
      <c r="F198" s="2"/>
    </row>
    <row r="199">
      <c r="C199" s="1"/>
      <c r="E199" s="2"/>
      <c r="F199" s="2"/>
    </row>
    <row r="200">
      <c r="C200" s="1"/>
      <c r="E200" s="2"/>
      <c r="F200" s="2"/>
    </row>
    <row r="201">
      <c r="C201" s="1"/>
      <c r="E201" s="2"/>
      <c r="F201" s="2"/>
    </row>
    <row r="202">
      <c r="C202" s="1"/>
      <c r="E202" s="2"/>
      <c r="F202" s="2"/>
    </row>
    <row r="203">
      <c r="C203" s="1"/>
      <c r="E203" s="2"/>
      <c r="F203" s="2"/>
    </row>
    <row r="204">
      <c r="C204" s="1"/>
      <c r="E204" s="2"/>
      <c r="F204" s="2"/>
    </row>
    <row r="205">
      <c r="C205" s="1"/>
      <c r="E205" s="2"/>
      <c r="F205" s="2"/>
    </row>
    <row r="206">
      <c r="C206" s="1"/>
      <c r="E206" s="2"/>
      <c r="F206" s="2"/>
    </row>
    <row r="207">
      <c r="C207" s="1"/>
      <c r="E207" s="2"/>
      <c r="F207" s="2"/>
    </row>
    <row r="208">
      <c r="C208" s="1"/>
      <c r="E208" s="2"/>
      <c r="F208" s="2"/>
    </row>
    <row r="209">
      <c r="C209" s="1"/>
      <c r="E209" s="2"/>
      <c r="F209" s="2"/>
    </row>
    <row r="210">
      <c r="C210" s="1"/>
      <c r="E210" s="2"/>
      <c r="F210" s="2"/>
    </row>
    <row r="211">
      <c r="C211" s="1"/>
      <c r="E211" s="2"/>
      <c r="F211" s="2"/>
    </row>
    <row r="212">
      <c r="C212" s="1"/>
      <c r="E212" s="2"/>
      <c r="F212" s="2"/>
    </row>
    <row r="213">
      <c r="C213" s="1"/>
      <c r="E213" s="2"/>
      <c r="F213" s="2"/>
    </row>
    <row r="214">
      <c r="C214" s="1"/>
      <c r="E214" s="2"/>
      <c r="F214" s="2"/>
    </row>
    <row r="215">
      <c r="C215" s="1"/>
      <c r="E215" s="2"/>
      <c r="F215" s="2"/>
    </row>
    <row r="216">
      <c r="C216" s="1"/>
      <c r="E216" s="2"/>
      <c r="F216" s="2"/>
    </row>
    <row r="217">
      <c r="C217" s="1"/>
      <c r="E217" s="2"/>
      <c r="F217" s="2"/>
    </row>
    <row r="218">
      <c r="C218" s="1"/>
      <c r="E218" s="2"/>
      <c r="F218" s="2"/>
    </row>
    <row r="219">
      <c r="C219" s="1"/>
      <c r="E219" s="2"/>
      <c r="F219" s="2"/>
    </row>
    <row r="220">
      <c r="C220" s="1"/>
      <c r="E220" s="2"/>
      <c r="F220" s="2"/>
    </row>
    <row r="221">
      <c r="C221" s="1"/>
      <c r="E221" s="2"/>
      <c r="F221" s="2"/>
    </row>
    <row r="222">
      <c r="C222" s="1"/>
      <c r="E222" s="2"/>
      <c r="F222" s="2"/>
    </row>
    <row r="223">
      <c r="C223" s="1"/>
      <c r="E223" s="2"/>
      <c r="F223" s="2"/>
    </row>
    <row r="224">
      <c r="C224" s="1"/>
      <c r="E224" s="2"/>
      <c r="F224" s="2"/>
    </row>
    <row r="225">
      <c r="C225" s="1"/>
      <c r="E225" s="2"/>
      <c r="F225" s="2"/>
    </row>
    <row r="226">
      <c r="C226" s="1"/>
      <c r="E226" s="2"/>
      <c r="F226" s="2"/>
    </row>
    <row r="227">
      <c r="C227" s="1"/>
      <c r="E227" s="2"/>
      <c r="F227" s="2"/>
    </row>
    <row r="228">
      <c r="C228" s="1"/>
      <c r="E228" s="2"/>
      <c r="F228" s="2"/>
    </row>
    <row r="229">
      <c r="C229" s="1"/>
      <c r="E229" s="2"/>
      <c r="F229" s="2"/>
    </row>
    <row r="230">
      <c r="C230" s="1"/>
      <c r="E230" s="2"/>
      <c r="F230" s="2"/>
    </row>
    <row r="231">
      <c r="C231" s="1"/>
      <c r="E231" s="2"/>
      <c r="F231" s="2"/>
    </row>
    <row r="232">
      <c r="C232" s="1"/>
      <c r="E232" s="2"/>
      <c r="F232" s="2"/>
    </row>
    <row r="233">
      <c r="C233" s="1"/>
      <c r="E233" s="2"/>
      <c r="F233" s="2"/>
    </row>
    <row r="234">
      <c r="C234" s="1"/>
      <c r="E234" s="2"/>
      <c r="F234" s="2"/>
    </row>
    <row r="235">
      <c r="C235" s="1"/>
      <c r="E235" s="2"/>
      <c r="F235" s="2"/>
    </row>
    <row r="236">
      <c r="C236" s="1"/>
      <c r="E236" s="2"/>
      <c r="F236" s="2"/>
    </row>
    <row r="237">
      <c r="C237" s="1"/>
      <c r="E237" s="2"/>
      <c r="F237" s="2"/>
    </row>
    <row r="238">
      <c r="C238" s="1"/>
      <c r="E238" s="2"/>
      <c r="F238" s="2"/>
    </row>
    <row r="239">
      <c r="C239" s="1"/>
      <c r="E239" s="2"/>
      <c r="F239" s="2"/>
    </row>
    <row r="240">
      <c r="C240" s="1"/>
      <c r="E240" s="2"/>
      <c r="F240" s="2"/>
    </row>
    <row r="241">
      <c r="C241" s="1"/>
      <c r="E241" s="2"/>
      <c r="F241" s="2"/>
    </row>
    <row r="242">
      <c r="C242" s="1"/>
      <c r="E242" s="2"/>
      <c r="F242" s="2"/>
    </row>
    <row r="243">
      <c r="C243" s="1"/>
      <c r="E243" s="2"/>
      <c r="F243" s="2"/>
    </row>
    <row r="244">
      <c r="C244" s="1"/>
      <c r="E244" s="2"/>
      <c r="F244" s="2"/>
    </row>
    <row r="245">
      <c r="C245" s="1"/>
      <c r="E245" s="2"/>
      <c r="F245" s="2"/>
    </row>
    <row r="246">
      <c r="C246" s="1"/>
      <c r="E246" s="2"/>
      <c r="F246" s="2"/>
    </row>
    <row r="247">
      <c r="C247" s="1"/>
      <c r="E247" s="2"/>
      <c r="F247" s="2"/>
    </row>
    <row r="248">
      <c r="C248" s="1"/>
      <c r="E248" s="2"/>
      <c r="F248" s="2"/>
    </row>
    <row r="249">
      <c r="C249" s="1"/>
      <c r="E249" s="2"/>
      <c r="F249" s="2"/>
    </row>
    <row r="250">
      <c r="C250" s="1"/>
      <c r="E250" s="2"/>
      <c r="F250" s="2"/>
    </row>
    <row r="251">
      <c r="C251" s="1"/>
      <c r="E251" s="2"/>
      <c r="F251" s="2"/>
    </row>
    <row r="252">
      <c r="C252" s="1"/>
      <c r="E252" s="2"/>
      <c r="F252" s="2"/>
    </row>
    <row r="253">
      <c r="C253" s="1"/>
      <c r="E253" s="2"/>
      <c r="F253" s="2"/>
    </row>
    <row r="254">
      <c r="C254" s="1"/>
      <c r="E254" s="2"/>
      <c r="F254" s="2"/>
    </row>
    <row r="255">
      <c r="C255" s="1"/>
      <c r="E255" s="2"/>
      <c r="F255" s="2"/>
    </row>
    <row r="256">
      <c r="C256" s="1"/>
      <c r="E256" s="2"/>
      <c r="F256" s="2"/>
    </row>
    <row r="257">
      <c r="C257" s="1"/>
      <c r="E257" s="2"/>
      <c r="F257" s="2"/>
    </row>
    <row r="258">
      <c r="C258" s="1"/>
      <c r="E258" s="2"/>
      <c r="F258" s="2"/>
    </row>
    <row r="259">
      <c r="C259" s="1"/>
      <c r="E259" s="2"/>
      <c r="F259" s="2"/>
    </row>
    <row r="260">
      <c r="C260" s="1"/>
      <c r="E260" s="2"/>
      <c r="F260" s="2"/>
    </row>
    <row r="261">
      <c r="C261" s="1"/>
      <c r="E261" s="2"/>
      <c r="F261" s="2"/>
    </row>
    <row r="262">
      <c r="C262" s="1"/>
      <c r="E262" s="2"/>
      <c r="F262" s="2"/>
    </row>
    <row r="263">
      <c r="C263" s="1"/>
      <c r="E263" s="2"/>
      <c r="F263" s="2"/>
    </row>
    <row r="264">
      <c r="C264" s="1"/>
      <c r="E264" s="2"/>
      <c r="F264" s="2"/>
    </row>
    <row r="265">
      <c r="C265" s="1"/>
      <c r="E265" s="2"/>
      <c r="F265" s="2"/>
    </row>
    <row r="266">
      <c r="C266" s="1"/>
      <c r="E266" s="2"/>
      <c r="F266" s="2"/>
    </row>
    <row r="267">
      <c r="C267" s="1"/>
      <c r="E267" s="2"/>
      <c r="F267" s="2"/>
    </row>
    <row r="268">
      <c r="C268" s="1"/>
      <c r="E268" s="2"/>
      <c r="F268" s="2"/>
    </row>
    <row r="269">
      <c r="C269" s="1"/>
      <c r="E269" s="2"/>
      <c r="F269" s="2"/>
    </row>
    <row r="270">
      <c r="C270" s="1"/>
      <c r="E270" s="2"/>
      <c r="F270" s="2"/>
    </row>
    <row r="271">
      <c r="C271" s="1"/>
      <c r="E271" s="2"/>
      <c r="F271" s="2"/>
    </row>
    <row r="272">
      <c r="C272" s="1"/>
      <c r="E272" s="2"/>
      <c r="F272" s="2"/>
    </row>
    <row r="273">
      <c r="C273" s="1"/>
      <c r="E273" s="2"/>
      <c r="F273" s="2"/>
    </row>
    <row r="274">
      <c r="C274" s="1"/>
      <c r="E274" s="2"/>
      <c r="F274" s="2"/>
    </row>
    <row r="275">
      <c r="C275" s="1"/>
      <c r="E275" s="2"/>
      <c r="F275" s="2"/>
    </row>
    <row r="276">
      <c r="C276" s="1"/>
      <c r="E276" s="2"/>
      <c r="F276" s="2"/>
    </row>
    <row r="277">
      <c r="C277" s="1"/>
      <c r="E277" s="2"/>
      <c r="F277" s="2"/>
    </row>
    <row r="278">
      <c r="C278" s="1"/>
      <c r="E278" s="2"/>
      <c r="F278" s="2"/>
    </row>
    <row r="279">
      <c r="C279" s="1"/>
      <c r="E279" s="2"/>
      <c r="F279" s="2"/>
    </row>
    <row r="280">
      <c r="C280" s="1"/>
      <c r="E280" s="2"/>
      <c r="F280" s="2"/>
    </row>
    <row r="281">
      <c r="C281" s="1"/>
      <c r="E281" s="2"/>
      <c r="F281" s="2"/>
    </row>
    <row r="282">
      <c r="C282" s="1"/>
      <c r="E282" s="2"/>
      <c r="F282" s="2"/>
    </row>
    <row r="283">
      <c r="C283" s="1"/>
      <c r="E283" s="2"/>
      <c r="F283" s="2"/>
    </row>
    <row r="284">
      <c r="C284" s="1"/>
      <c r="E284" s="2"/>
      <c r="F284" s="2"/>
    </row>
    <row r="285">
      <c r="C285" s="1"/>
      <c r="E285" s="2"/>
      <c r="F285" s="2"/>
    </row>
    <row r="286">
      <c r="C286" s="1"/>
      <c r="E286" s="2"/>
      <c r="F286" s="2"/>
    </row>
    <row r="287">
      <c r="C287" s="1"/>
      <c r="E287" s="2"/>
      <c r="F287" s="2"/>
    </row>
    <row r="288">
      <c r="C288" s="1"/>
      <c r="E288" s="2"/>
      <c r="F288" s="2"/>
    </row>
    <row r="289">
      <c r="C289" s="1"/>
      <c r="E289" s="2"/>
      <c r="F289" s="2"/>
    </row>
    <row r="290">
      <c r="C290" s="1"/>
      <c r="E290" s="2"/>
      <c r="F290" s="2"/>
    </row>
    <row r="291">
      <c r="C291" s="1"/>
      <c r="E291" s="2"/>
      <c r="F291" s="2"/>
    </row>
    <row r="292">
      <c r="C292" s="1"/>
      <c r="E292" s="2"/>
      <c r="F292" s="2"/>
    </row>
    <row r="293">
      <c r="C293" s="1"/>
      <c r="E293" s="2"/>
      <c r="F293" s="2"/>
    </row>
    <row r="294">
      <c r="C294" s="1"/>
      <c r="E294" s="2"/>
      <c r="F294" s="2"/>
    </row>
    <row r="295">
      <c r="C295" s="1"/>
      <c r="E295" s="2"/>
      <c r="F295" s="2"/>
    </row>
    <row r="296">
      <c r="C296" s="1"/>
      <c r="E296" s="2"/>
      <c r="F296" s="2"/>
    </row>
    <row r="297">
      <c r="C297" s="1"/>
      <c r="E297" s="2"/>
      <c r="F297" s="2"/>
    </row>
    <row r="298">
      <c r="C298" s="1"/>
      <c r="E298" s="2"/>
      <c r="F298" s="2"/>
    </row>
    <row r="299">
      <c r="C299" s="1"/>
      <c r="E299" s="2"/>
      <c r="F299" s="2"/>
    </row>
    <row r="300">
      <c r="C300" s="1"/>
      <c r="E300" s="2"/>
      <c r="F300" s="2"/>
    </row>
    <row r="301">
      <c r="C301" s="1"/>
      <c r="E301" s="2"/>
      <c r="F301" s="2"/>
    </row>
    <row r="302">
      <c r="C302" s="1"/>
      <c r="E302" s="2"/>
      <c r="F302" s="2"/>
    </row>
    <row r="303">
      <c r="C303" s="1"/>
      <c r="E303" s="2"/>
      <c r="F303" s="2"/>
    </row>
    <row r="304">
      <c r="C304" s="1"/>
      <c r="E304" s="2"/>
      <c r="F304" s="2"/>
    </row>
    <row r="305">
      <c r="C305" s="1"/>
      <c r="E305" s="2"/>
      <c r="F305" s="2"/>
    </row>
    <row r="306">
      <c r="C306" s="1"/>
      <c r="E306" s="2"/>
      <c r="F306" s="2"/>
    </row>
    <row r="307">
      <c r="C307" s="1"/>
      <c r="E307" s="2"/>
      <c r="F307" s="2"/>
    </row>
    <row r="308">
      <c r="C308" s="1"/>
      <c r="E308" s="2"/>
      <c r="F308" s="2"/>
    </row>
    <row r="309">
      <c r="C309" s="1"/>
      <c r="E309" s="2"/>
      <c r="F309" s="2"/>
    </row>
    <row r="310">
      <c r="C310" s="1"/>
      <c r="E310" s="2"/>
      <c r="F310" s="2"/>
    </row>
    <row r="311">
      <c r="C311" s="1"/>
      <c r="E311" s="2"/>
      <c r="F311" s="2"/>
    </row>
    <row r="312">
      <c r="C312" s="1"/>
      <c r="E312" s="2"/>
      <c r="F312" s="2"/>
    </row>
    <row r="313">
      <c r="C313" s="1"/>
      <c r="E313" s="2"/>
      <c r="F313" s="2"/>
    </row>
    <row r="314">
      <c r="C314" s="1"/>
      <c r="E314" s="2"/>
      <c r="F314" s="2"/>
    </row>
    <row r="315">
      <c r="C315" s="1"/>
      <c r="E315" s="2"/>
      <c r="F315" s="2"/>
    </row>
    <row r="316">
      <c r="C316" s="1"/>
      <c r="E316" s="2"/>
      <c r="F316" s="2"/>
    </row>
    <row r="317">
      <c r="C317" s="1"/>
      <c r="E317" s="2"/>
      <c r="F317" s="2"/>
    </row>
    <row r="318">
      <c r="C318" s="1"/>
      <c r="E318" s="2"/>
      <c r="F318" s="2"/>
    </row>
    <row r="319">
      <c r="C319" s="1"/>
      <c r="E319" s="2"/>
      <c r="F319" s="2"/>
    </row>
    <row r="320">
      <c r="C320" s="1"/>
      <c r="E320" s="2"/>
      <c r="F320" s="2"/>
    </row>
    <row r="321">
      <c r="C321" s="1"/>
      <c r="E321" s="2"/>
      <c r="F321" s="2"/>
    </row>
    <row r="322">
      <c r="C322" s="1"/>
      <c r="E322" s="2"/>
      <c r="F322" s="2"/>
    </row>
    <row r="323">
      <c r="C323" s="1"/>
      <c r="E323" s="2"/>
      <c r="F323" s="2"/>
    </row>
    <row r="324">
      <c r="C324" s="1"/>
      <c r="E324" s="2"/>
      <c r="F324" s="2"/>
    </row>
    <row r="325">
      <c r="C325" s="1"/>
      <c r="E325" s="2"/>
      <c r="F325" s="2"/>
    </row>
    <row r="326">
      <c r="C326" s="1"/>
      <c r="E326" s="2"/>
      <c r="F326" s="2"/>
    </row>
    <row r="327">
      <c r="C327" s="1"/>
      <c r="E327" s="2"/>
      <c r="F327" s="2"/>
    </row>
    <row r="328">
      <c r="C328" s="1"/>
      <c r="E328" s="2"/>
      <c r="F328" s="2"/>
    </row>
    <row r="329">
      <c r="C329" s="1"/>
      <c r="E329" s="2"/>
      <c r="F329" s="2"/>
    </row>
    <row r="330">
      <c r="C330" s="1"/>
      <c r="E330" s="2"/>
      <c r="F330" s="2"/>
    </row>
    <row r="331">
      <c r="C331" s="1"/>
      <c r="E331" s="2"/>
      <c r="F331" s="2"/>
    </row>
    <row r="332">
      <c r="C332" s="1"/>
      <c r="E332" s="2"/>
      <c r="F332" s="2"/>
    </row>
    <row r="333">
      <c r="C333" s="1"/>
      <c r="E333" s="2"/>
      <c r="F333" s="2"/>
    </row>
    <row r="334">
      <c r="C334" s="1"/>
      <c r="E334" s="2"/>
      <c r="F334" s="2"/>
    </row>
    <row r="335">
      <c r="C335" s="1"/>
      <c r="E335" s="2"/>
      <c r="F335" s="2"/>
    </row>
    <row r="336">
      <c r="C336" s="1"/>
      <c r="E336" s="2"/>
      <c r="F336" s="2"/>
    </row>
    <row r="337">
      <c r="C337" s="1"/>
      <c r="E337" s="2"/>
      <c r="F337" s="2"/>
    </row>
    <row r="338">
      <c r="C338" s="1"/>
      <c r="E338" s="2"/>
      <c r="F338" s="2"/>
    </row>
    <row r="339">
      <c r="C339" s="1"/>
      <c r="E339" s="2"/>
      <c r="F339" s="2"/>
    </row>
    <row r="340">
      <c r="C340" s="1"/>
      <c r="E340" s="2"/>
      <c r="F340" s="2"/>
    </row>
    <row r="341">
      <c r="C341" s="1"/>
      <c r="E341" s="2"/>
      <c r="F341" s="2"/>
    </row>
    <row r="342">
      <c r="C342" s="1"/>
      <c r="E342" s="2"/>
      <c r="F342" s="2"/>
    </row>
    <row r="343">
      <c r="C343" s="1"/>
      <c r="E343" s="2"/>
      <c r="F343" s="2"/>
    </row>
    <row r="344">
      <c r="C344" s="1"/>
      <c r="E344" s="2"/>
      <c r="F344" s="2"/>
    </row>
    <row r="345">
      <c r="C345" s="1"/>
      <c r="E345" s="2"/>
      <c r="F345" s="2"/>
    </row>
    <row r="346">
      <c r="C346" s="1"/>
      <c r="E346" s="2"/>
      <c r="F346" s="2"/>
    </row>
    <row r="347">
      <c r="C347" s="1"/>
      <c r="E347" s="2"/>
      <c r="F347" s="2"/>
    </row>
    <row r="348">
      <c r="C348" s="1"/>
      <c r="E348" s="2"/>
      <c r="F348" s="2"/>
    </row>
    <row r="349">
      <c r="C349" s="1"/>
      <c r="E349" s="2"/>
      <c r="F349" s="2"/>
    </row>
    <row r="350">
      <c r="C350" s="1"/>
      <c r="E350" s="2"/>
      <c r="F350" s="2"/>
    </row>
    <row r="351">
      <c r="C351" s="1"/>
      <c r="E351" s="2"/>
      <c r="F351" s="2"/>
    </row>
    <row r="352">
      <c r="C352" s="1"/>
      <c r="E352" s="2"/>
      <c r="F352" s="2"/>
    </row>
    <row r="353">
      <c r="C353" s="1"/>
      <c r="E353" s="2"/>
      <c r="F353" s="2"/>
    </row>
    <row r="354">
      <c r="C354" s="1"/>
      <c r="E354" s="2"/>
      <c r="F354" s="2"/>
    </row>
    <row r="355">
      <c r="C355" s="1"/>
      <c r="E355" s="2"/>
      <c r="F355" s="2"/>
    </row>
    <row r="356">
      <c r="C356" s="1"/>
      <c r="E356" s="2"/>
      <c r="F356" s="2"/>
    </row>
    <row r="357">
      <c r="C357" s="1"/>
      <c r="E357" s="2"/>
      <c r="F357" s="2"/>
    </row>
    <row r="358">
      <c r="C358" s="1"/>
      <c r="E358" s="2"/>
      <c r="F358" s="2"/>
    </row>
    <row r="359">
      <c r="C359" s="1"/>
      <c r="E359" s="2"/>
      <c r="F359" s="2"/>
    </row>
    <row r="360">
      <c r="C360" s="1"/>
      <c r="E360" s="2"/>
      <c r="F360" s="2"/>
    </row>
    <row r="361">
      <c r="C361" s="1"/>
      <c r="E361" s="2"/>
      <c r="F361" s="2"/>
    </row>
    <row r="362">
      <c r="C362" s="1"/>
      <c r="E362" s="2"/>
      <c r="F362" s="2"/>
    </row>
    <row r="363">
      <c r="C363" s="1"/>
      <c r="E363" s="2"/>
      <c r="F363" s="2"/>
    </row>
    <row r="364">
      <c r="C364" s="1"/>
      <c r="E364" s="2"/>
      <c r="F364" s="2"/>
    </row>
    <row r="365">
      <c r="C365" s="1"/>
      <c r="E365" s="2"/>
      <c r="F365" s="2"/>
    </row>
    <row r="366">
      <c r="C366" s="1"/>
      <c r="E366" s="2"/>
      <c r="F366" s="2"/>
    </row>
    <row r="367">
      <c r="C367" s="1"/>
      <c r="E367" s="2"/>
      <c r="F367" s="2"/>
    </row>
    <row r="368">
      <c r="C368" s="1"/>
      <c r="E368" s="2"/>
      <c r="F368" s="2"/>
    </row>
    <row r="369">
      <c r="C369" s="1"/>
      <c r="E369" s="2"/>
      <c r="F369" s="2"/>
    </row>
    <row r="370">
      <c r="C370" s="1"/>
      <c r="E370" s="2"/>
      <c r="F370" s="2"/>
    </row>
    <row r="371">
      <c r="C371" s="1"/>
      <c r="E371" s="2"/>
      <c r="F371" s="2"/>
    </row>
    <row r="372">
      <c r="C372" s="1"/>
      <c r="E372" s="2"/>
      <c r="F372" s="2"/>
    </row>
    <row r="373">
      <c r="C373" s="1"/>
      <c r="E373" s="2"/>
      <c r="F373" s="2"/>
    </row>
    <row r="374">
      <c r="C374" s="1"/>
      <c r="E374" s="2"/>
      <c r="F374" s="2"/>
    </row>
    <row r="375">
      <c r="C375" s="1"/>
      <c r="E375" s="2"/>
      <c r="F375" s="2"/>
    </row>
    <row r="376">
      <c r="C376" s="1"/>
      <c r="E376" s="2"/>
      <c r="F376" s="2"/>
    </row>
    <row r="377">
      <c r="C377" s="1"/>
      <c r="E377" s="2"/>
      <c r="F377" s="2"/>
    </row>
    <row r="378">
      <c r="C378" s="1"/>
      <c r="E378" s="2"/>
      <c r="F378" s="2"/>
    </row>
    <row r="379">
      <c r="C379" s="1"/>
      <c r="E379" s="2"/>
      <c r="F379" s="2"/>
    </row>
    <row r="380">
      <c r="C380" s="1"/>
      <c r="E380" s="2"/>
      <c r="F380" s="2"/>
    </row>
    <row r="381">
      <c r="C381" s="1"/>
      <c r="E381" s="2"/>
      <c r="F381" s="2"/>
    </row>
    <row r="382">
      <c r="C382" s="1"/>
      <c r="E382" s="2"/>
      <c r="F382" s="2"/>
    </row>
    <row r="383">
      <c r="C383" s="1"/>
      <c r="E383" s="2"/>
      <c r="F383" s="2"/>
    </row>
    <row r="384">
      <c r="C384" s="1"/>
      <c r="E384" s="2"/>
      <c r="F384" s="2"/>
    </row>
    <row r="385">
      <c r="C385" s="1"/>
      <c r="E385" s="2"/>
      <c r="F385" s="2"/>
    </row>
    <row r="386">
      <c r="C386" s="1"/>
      <c r="E386" s="2"/>
      <c r="F386" s="2"/>
    </row>
    <row r="387">
      <c r="C387" s="1"/>
      <c r="E387" s="2"/>
      <c r="F387" s="2"/>
    </row>
    <row r="388">
      <c r="C388" s="1"/>
      <c r="E388" s="2"/>
      <c r="F388" s="2"/>
    </row>
    <row r="389">
      <c r="C389" s="1"/>
      <c r="E389" s="2"/>
      <c r="F389" s="2"/>
    </row>
    <row r="390">
      <c r="C390" s="1"/>
      <c r="E390" s="2"/>
      <c r="F390" s="2"/>
    </row>
    <row r="391">
      <c r="C391" s="1"/>
      <c r="E391" s="2"/>
      <c r="F391" s="2"/>
    </row>
    <row r="392">
      <c r="C392" s="1"/>
      <c r="E392" s="2"/>
      <c r="F392" s="2"/>
    </row>
    <row r="393">
      <c r="C393" s="1"/>
      <c r="E393" s="2"/>
      <c r="F393" s="2"/>
    </row>
    <row r="394">
      <c r="C394" s="1"/>
      <c r="E394" s="2"/>
      <c r="F394" s="2"/>
    </row>
    <row r="395">
      <c r="C395" s="1"/>
      <c r="E395" s="2"/>
      <c r="F395" s="2"/>
    </row>
    <row r="396">
      <c r="C396" s="1"/>
      <c r="E396" s="2"/>
      <c r="F396" s="2"/>
    </row>
    <row r="397">
      <c r="C397" s="1"/>
      <c r="E397" s="2"/>
      <c r="F397" s="2"/>
    </row>
    <row r="398">
      <c r="C398" s="1"/>
      <c r="E398" s="2"/>
      <c r="F398" s="2"/>
    </row>
    <row r="399">
      <c r="C399" s="1"/>
      <c r="E399" s="2"/>
      <c r="F399" s="2"/>
    </row>
    <row r="400">
      <c r="C400" s="1"/>
      <c r="E400" s="2"/>
      <c r="F400" s="2"/>
    </row>
    <row r="401">
      <c r="C401" s="1"/>
      <c r="E401" s="2"/>
      <c r="F401" s="2"/>
    </row>
    <row r="402">
      <c r="C402" s="1"/>
      <c r="E402" s="2"/>
      <c r="F402" s="2"/>
    </row>
    <row r="403">
      <c r="C403" s="1"/>
      <c r="E403" s="2"/>
      <c r="F403" s="2"/>
    </row>
    <row r="404">
      <c r="C404" s="1"/>
      <c r="E404" s="2"/>
      <c r="F404" s="2"/>
    </row>
    <row r="405">
      <c r="C405" s="1"/>
      <c r="E405" s="2"/>
      <c r="F405" s="2"/>
    </row>
    <row r="406">
      <c r="C406" s="1"/>
      <c r="E406" s="2"/>
      <c r="F406" s="2"/>
    </row>
    <row r="407">
      <c r="C407" s="1"/>
      <c r="E407" s="2"/>
      <c r="F407" s="2"/>
    </row>
    <row r="408">
      <c r="C408" s="1"/>
      <c r="E408" s="2"/>
      <c r="F408" s="2"/>
    </row>
    <row r="409">
      <c r="C409" s="1"/>
      <c r="E409" s="2"/>
      <c r="F409" s="2"/>
    </row>
    <row r="410">
      <c r="C410" s="1"/>
      <c r="E410" s="2"/>
      <c r="F410" s="2"/>
    </row>
    <row r="411">
      <c r="C411" s="1"/>
      <c r="E411" s="2"/>
      <c r="F411" s="2"/>
    </row>
    <row r="412">
      <c r="C412" s="1"/>
      <c r="E412" s="2"/>
      <c r="F412" s="2"/>
    </row>
    <row r="413">
      <c r="C413" s="1"/>
      <c r="E413" s="2"/>
      <c r="F413" s="2"/>
    </row>
    <row r="414">
      <c r="C414" s="1"/>
      <c r="E414" s="2"/>
      <c r="F414" s="2"/>
    </row>
    <row r="415">
      <c r="C415" s="1"/>
      <c r="E415" s="2"/>
      <c r="F415" s="2"/>
    </row>
    <row r="416">
      <c r="C416" s="1"/>
      <c r="E416" s="2"/>
      <c r="F416" s="2"/>
    </row>
    <row r="417">
      <c r="C417" s="1"/>
      <c r="E417" s="2"/>
      <c r="F417" s="2"/>
    </row>
    <row r="418">
      <c r="C418" s="1"/>
      <c r="E418" s="2"/>
      <c r="F418" s="2"/>
    </row>
    <row r="419">
      <c r="C419" s="1"/>
      <c r="E419" s="2"/>
      <c r="F419" s="2"/>
    </row>
    <row r="420">
      <c r="C420" s="1"/>
      <c r="E420" s="2"/>
      <c r="F420" s="2"/>
    </row>
    <row r="421">
      <c r="C421" s="1"/>
      <c r="E421" s="2"/>
      <c r="F421" s="2"/>
    </row>
    <row r="422">
      <c r="C422" s="1"/>
      <c r="E422" s="2"/>
      <c r="F422" s="2"/>
    </row>
    <row r="423">
      <c r="C423" s="1"/>
      <c r="E423" s="2"/>
      <c r="F423" s="2"/>
    </row>
    <row r="424">
      <c r="C424" s="1"/>
      <c r="E424" s="2"/>
      <c r="F424" s="2"/>
    </row>
    <row r="425">
      <c r="C425" s="1"/>
      <c r="E425" s="2"/>
      <c r="F425" s="2"/>
    </row>
    <row r="426">
      <c r="C426" s="1"/>
      <c r="E426" s="2"/>
      <c r="F426" s="2"/>
    </row>
    <row r="427">
      <c r="C427" s="1"/>
      <c r="E427" s="2"/>
      <c r="F427" s="2"/>
    </row>
    <row r="428">
      <c r="C428" s="1"/>
      <c r="E428" s="2"/>
      <c r="F428" s="2"/>
    </row>
    <row r="429">
      <c r="C429" s="1"/>
      <c r="E429" s="2"/>
      <c r="F429" s="2"/>
    </row>
    <row r="430">
      <c r="C430" s="1"/>
      <c r="E430" s="2"/>
      <c r="F430" s="2"/>
    </row>
    <row r="431">
      <c r="C431" s="1"/>
      <c r="E431" s="2"/>
      <c r="F431" s="2"/>
    </row>
    <row r="432">
      <c r="C432" s="1"/>
      <c r="E432" s="2"/>
      <c r="F432" s="2"/>
    </row>
    <row r="433">
      <c r="C433" s="1"/>
      <c r="E433" s="2"/>
      <c r="F433" s="2"/>
    </row>
    <row r="434">
      <c r="C434" s="1"/>
      <c r="E434" s="2"/>
      <c r="F434" s="2"/>
    </row>
    <row r="435">
      <c r="C435" s="1"/>
      <c r="E435" s="2"/>
      <c r="F435" s="2"/>
    </row>
    <row r="436">
      <c r="C436" s="1"/>
      <c r="E436" s="2"/>
      <c r="F436" s="2"/>
    </row>
    <row r="437">
      <c r="C437" s="1"/>
      <c r="E437" s="2"/>
      <c r="F437" s="2"/>
    </row>
    <row r="438">
      <c r="C438" s="1"/>
      <c r="E438" s="2"/>
      <c r="F438" s="2"/>
    </row>
    <row r="439">
      <c r="C439" s="1"/>
      <c r="E439" s="2"/>
      <c r="F439" s="2"/>
    </row>
    <row r="440">
      <c r="C440" s="1"/>
      <c r="E440" s="2"/>
      <c r="F440" s="2"/>
    </row>
    <row r="441">
      <c r="C441" s="1"/>
      <c r="E441" s="2"/>
      <c r="F441" s="2"/>
    </row>
    <row r="442">
      <c r="C442" s="1"/>
      <c r="E442" s="2"/>
      <c r="F442" s="2"/>
    </row>
    <row r="443">
      <c r="C443" s="1"/>
      <c r="E443" s="2"/>
      <c r="F443" s="2"/>
    </row>
    <row r="444">
      <c r="C444" s="1"/>
      <c r="E444" s="2"/>
      <c r="F444" s="2"/>
    </row>
    <row r="445">
      <c r="C445" s="1"/>
      <c r="E445" s="2"/>
      <c r="F445" s="2"/>
    </row>
    <row r="446">
      <c r="C446" s="1"/>
      <c r="E446" s="2"/>
      <c r="F446" s="2"/>
    </row>
    <row r="447">
      <c r="C447" s="1"/>
      <c r="E447" s="2"/>
      <c r="F447" s="2"/>
    </row>
    <row r="448">
      <c r="C448" s="1"/>
      <c r="E448" s="2"/>
      <c r="F448" s="2"/>
    </row>
    <row r="449">
      <c r="C449" s="1"/>
      <c r="E449" s="2"/>
      <c r="F449" s="2"/>
    </row>
    <row r="450">
      <c r="C450" s="1"/>
      <c r="E450" s="2"/>
      <c r="F450" s="2"/>
    </row>
    <row r="451">
      <c r="C451" s="1"/>
      <c r="E451" s="2"/>
      <c r="F451" s="2"/>
    </row>
    <row r="452">
      <c r="C452" s="1"/>
      <c r="E452" s="2"/>
      <c r="F452" s="2"/>
    </row>
    <row r="453">
      <c r="C453" s="1"/>
      <c r="E453" s="2"/>
      <c r="F453" s="2"/>
    </row>
    <row r="454">
      <c r="C454" s="1"/>
      <c r="E454" s="2"/>
      <c r="F454" s="2"/>
    </row>
    <row r="455">
      <c r="C455" s="1"/>
      <c r="E455" s="2"/>
      <c r="F455" s="2"/>
    </row>
    <row r="456">
      <c r="C456" s="1"/>
      <c r="E456" s="2"/>
      <c r="F456" s="2"/>
    </row>
    <row r="457">
      <c r="C457" s="1"/>
      <c r="E457" s="2"/>
      <c r="F457" s="2"/>
    </row>
    <row r="458">
      <c r="C458" s="1"/>
      <c r="E458" s="2"/>
      <c r="F458" s="2"/>
    </row>
    <row r="459">
      <c r="C459" s="1"/>
      <c r="E459" s="2"/>
      <c r="F459" s="2"/>
    </row>
    <row r="460">
      <c r="C460" s="1"/>
      <c r="E460" s="2"/>
      <c r="F460" s="2"/>
    </row>
    <row r="461">
      <c r="C461" s="1"/>
      <c r="E461" s="2"/>
      <c r="F461" s="2"/>
    </row>
    <row r="462">
      <c r="C462" s="1"/>
      <c r="E462" s="2"/>
      <c r="F462" s="2"/>
    </row>
    <row r="463">
      <c r="C463" s="1"/>
      <c r="E463" s="2"/>
      <c r="F463" s="2"/>
    </row>
    <row r="464">
      <c r="C464" s="1"/>
      <c r="E464" s="2"/>
      <c r="F464" s="2"/>
    </row>
    <row r="465">
      <c r="C465" s="1"/>
      <c r="E465" s="2"/>
      <c r="F465" s="2"/>
    </row>
    <row r="466">
      <c r="C466" s="1"/>
      <c r="E466" s="2"/>
      <c r="F466" s="2"/>
    </row>
    <row r="467">
      <c r="C467" s="1"/>
      <c r="E467" s="2"/>
      <c r="F467" s="2"/>
    </row>
    <row r="468">
      <c r="C468" s="1"/>
      <c r="E468" s="2"/>
      <c r="F468" s="2"/>
    </row>
    <row r="469">
      <c r="C469" s="1"/>
      <c r="E469" s="2"/>
      <c r="F469" s="2"/>
    </row>
    <row r="470">
      <c r="C470" s="1"/>
      <c r="E470" s="2"/>
      <c r="F470" s="2"/>
    </row>
    <row r="471">
      <c r="C471" s="1"/>
      <c r="E471" s="2"/>
      <c r="F471" s="2"/>
    </row>
    <row r="472">
      <c r="C472" s="1"/>
      <c r="E472" s="2"/>
      <c r="F472" s="2"/>
    </row>
    <row r="473">
      <c r="C473" s="1"/>
      <c r="E473" s="2"/>
      <c r="F473" s="2"/>
    </row>
    <row r="474">
      <c r="C474" s="1"/>
      <c r="E474" s="2"/>
      <c r="F474" s="2"/>
    </row>
    <row r="475">
      <c r="C475" s="1"/>
      <c r="E475" s="2"/>
      <c r="F475" s="2"/>
    </row>
    <row r="476">
      <c r="C476" s="1"/>
      <c r="E476" s="2"/>
      <c r="F476" s="2"/>
    </row>
    <row r="477">
      <c r="C477" s="1"/>
      <c r="E477" s="2"/>
      <c r="F477" s="2"/>
    </row>
    <row r="478">
      <c r="C478" s="1"/>
      <c r="E478" s="2"/>
      <c r="F478" s="2"/>
    </row>
    <row r="479">
      <c r="C479" s="1"/>
      <c r="E479" s="2"/>
      <c r="F479" s="2"/>
    </row>
    <row r="480">
      <c r="C480" s="1"/>
      <c r="E480" s="2"/>
      <c r="F480" s="2"/>
    </row>
    <row r="481">
      <c r="C481" s="1"/>
      <c r="E481" s="2"/>
      <c r="F481" s="2"/>
    </row>
    <row r="482">
      <c r="C482" s="1"/>
      <c r="E482" s="2"/>
      <c r="F482" s="2"/>
    </row>
    <row r="483">
      <c r="C483" s="1"/>
      <c r="E483" s="2"/>
      <c r="F483" s="2"/>
    </row>
    <row r="484">
      <c r="C484" s="1"/>
      <c r="E484" s="2"/>
      <c r="F484" s="2"/>
    </row>
    <row r="485">
      <c r="C485" s="1"/>
      <c r="E485" s="2"/>
      <c r="F485" s="2"/>
    </row>
    <row r="486">
      <c r="C486" s="1"/>
      <c r="E486" s="2"/>
      <c r="F486" s="2"/>
    </row>
    <row r="487">
      <c r="C487" s="1"/>
      <c r="E487" s="2"/>
      <c r="F487" s="2"/>
    </row>
    <row r="488">
      <c r="C488" s="1"/>
      <c r="E488" s="2"/>
      <c r="F488" s="2"/>
    </row>
    <row r="489">
      <c r="C489" s="1"/>
      <c r="E489" s="2"/>
      <c r="F489" s="2"/>
    </row>
    <row r="490">
      <c r="C490" s="1"/>
      <c r="E490" s="2"/>
      <c r="F490" s="2"/>
    </row>
    <row r="491">
      <c r="C491" s="1"/>
      <c r="E491" s="2"/>
      <c r="F491" s="2"/>
    </row>
    <row r="492">
      <c r="C492" s="1"/>
      <c r="E492" s="2"/>
      <c r="F492" s="2"/>
    </row>
    <row r="493">
      <c r="C493" s="1"/>
      <c r="E493" s="2"/>
      <c r="F493" s="2"/>
    </row>
    <row r="494">
      <c r="C494" s="1"/>
      <c r="E494" s="2"/>
      <c r="F494" s="2"/>
    </row>
    <row r="495">
      <c r="C495" s="1"/>
      <c r="E495" s="2"/>
      <c r="F495" s="2"/>
    </row>
    <row r="496">
      <c r="C496" s="1"/>
      <c r="E496" s="2"/>
      <c r="F496" s="2"/>
    </row>
    <row r="497">
      <c r="C497" s="1"/>
      <c r="E497" s="2"/>
      <c r="F497" s="2"/>
    </row>
    <row r="498">
      <c r="C498" s="1"/>
      <c r="E498" s="2"/>
      <c r="F498" s="2"/>
    </row>
    <row r="499">
      <c r="C499" s="1"/>
      <c r="E499" s="2"/>
      <c r="F499" s="2"/>
    </row>
    <row r="500">
      <c r="C500" s="1"/>
      <c r="E500" s="2"/>
      <c r="F500" s="2"/>
    </row>
    <row r="501">
      <c r="C501" s="1"/>
      <c r="E501" s="2"/>
      <c r="F501" s="2"/>
    </row>
    <row r="502">
      <c r="C502" s="1"/>
      <c r="E502" s="2"/>
      <c r="F502" s="2"/>
    </row>
    <row r="503">
      <c r="C503" s="1"/>
      <c r="E503" s="2"/>
      <c r="F503" s="2"/>
    </row>
    <row r="504">
      <c r="C504" s="1"/>
      <c r="E504" s="2"/>
      <c r="F504" s="2"/>
    </row>
    <row r="505">
      <c r="C505" s="1"/>
      <c r="E505" s="2"/>
      <c r="F505" s="2"/>
    </row>
    <row r="506">
      <c r="C506" s="1"/>
      <c r="E506" s="2"/>
      <c r="F506" s="2"/>
    </row>
    <row r="507">
      <c r="C507" s="1"/>
      <c r="E507" s="2"/>
      <c r="F507" s="2"/>
    </row>
    <row r="508">
      <c r="C508" s="1"/>
      <c r="E508" s="2"/>
      <c r="F508" s="2"/>
    </row>
    <row r="509">
      <c r="C509" s="1"/>
      <c r="E509" s="2"/>
      <c r="F509" s="2"/>
    </row>
    <row r="510">
      <c r="C510" s="1"/>
      <c r="E510" s="2"/>
      <c r="F510" s="2"/>
    </row>
    <row r="511">
      <c r="C511" s="1"/>
      <c r="E511" s="2"/>
      <c r="F511" s="2"/>
    </row>
    <row r="512">
      <c r="C512" s="1"/>
      <c r="E512" s="2"/>
      <c r="F512" s="2"/>
    </row>
    <row r="513">
      <c r="C513" s="1"/>
      <c r="E513" s="2"/>
      <c r="F513" s="2"/>
    </row>
    <row r="514">
      <c r="C514" s="1"/>
      <c r="E514" s="2"/>
      <c r="F514" s="2"/>
    </row>
    <row r="515">
      <c r="C515" s="1"/>
      <c r="E515" s="2"/>
      <c r="F515" s="2"/>
    </row>
    <row r="516">
      <c r="C516" s="1"/>
      <c r="E516" s="2"/>
      <c r="F516" s="2"/>
    </row>
    <row r="517">
      <c r="C517" s="1"/>
      <c r="E517" s="2"/>
      <c r="F517" s="2"/>
    </row>
    <row r="518">
      <c r="C518" s="1"/>
      <c r="E518" s="2"/>
      <c r="F518" s="2"/>
    </row>
    <row r="519">
      <c r="C519" s="1"/>
      <c r="E519" s="2"/>
      <c r="F519" s="2"/>
    </row>
    <row r="520">
      <c r="C520" s="1"/>
      <c r="E520" s="2"/>
      <c r="F520" s="2"/>
    </row>
    <row r="521">
      <c r="C521" s="1"/>
      <c r="E521" s="2"/>
      <c r="F521" s="2"/>
    </row>
    <row r="522">
      <c r="C522" s="1"/>
      <c r="E522" s="2"/>
      <c r="F522" s="2"/>
    </row>
    <row r="523">
      <c r="C523" s="1"/>
      <c r="E523" s="2"/>
      <c r="F523" s="2"/>
    </row>
    <row r="524">
      <c r="C524" s="1"/>
      <c r="E524" s="2"/>
      <c r="F524" s="2"/>
    </row>
    <row r="525">
      <c r="C525" s="1"/>
      <c r="E525" s="2"/>
      <c r="F525" s="2"/>
    </row>
    <row r="526">
      <c r="C526" s="1"/>
      <c r="E526" s="2"/>
      <c r="F526" s="2"/>
    </row>
    <row r="527">
      <c r="C527" s="1"/>
      <c r="E527" s="2"/>
      <c r="F527" s="2"/>
    </row>
    <row r="528">
      <c r="C528" s="1"/>
      <c r="E528" s="2"/>
      <c r="F528" s="2"/>
    </row>
    <row r="529">
      <c r="C529" s="1"/>
      <c r="E529" s="2"/>
      <c r="F529" s="2"/>
    </row>
    <row r="530">
      <c r="C530" s="1"/>
      <c r="E530" s="2"/>
      <c r="F530" s="2"/>
    </row>
    <row r="531">
      <c r="C531" s="1"/>
      <c r="E531" s="2"/>
      <c r="F531" s="2"/>
    </row>
    <row r="532">
      <c r="C532" s="1"/>
      <c r="E532" s="2"/>
      <c r="F532" s="2"/>
    </row>
    <row r="533">
      <c r="C533" s="1"/>
      <c r="E533" s="2"/>
      <c r="F533" s="2"/>
    </row>
    <row r="534">
      <c r="C534" s="1"/>
      <c r="E534" s="2"/>
      <c r="F534" s="2"/>
    </row>
    <row r="535">
      <c r="C535" s="1"/>
      <c r="E535" s="2"/>
      <c r="F535" s="2"/>
    </row>
    <row r="536">
      <c r="C536" s="1"/>
      <c r="E536" s="2"/>
      <c r="F536" s="2"/>
    </row>
    <row r="537">
      <c r="C537" s="1"/>
      <c r="E537" s="2"/>
      <c r="F537" s="2"/>
    </row>
    <row r="538">
      <c r="C538" s="1"/>
      <c r="E538" s="2"/>
      <c r="F538" s="2"/>
    </row>
    <row r="539">
      <c r="C539" s="1"/>
      <c r="E539" s="2"/>
      <c r="F539" s="2"/>
    </row>
    <row r="540">
      <c r="C540" s="1"/>
      <c r="E540" s="2"/>
      <c r="F540" s="2"/>
    </row>
    <row r="541">
      <c r="C541" s="1"/>
      <c r="E541" s="2"/>
      <c r="F541" s="2"/>
    </row>
    <row r="542">
      <c r="C542" s="1"/>
      <c r="E542" s="2"/>
      <c r="F542" s="2"/>
    </row>
    <row r="543">
      <c r="C543" s="1"/>
      <c r="E543" s="2"/>
      <c r="F543" s="2"/>
    </row>
    <row r="544">
      <c r="C544" s="1"/>
      <c r="E544" s="2"/>
      <c r="F544" s="2"/>
    </row>
    <row r="545">
      <c r="C545" s="1"/>
      <c r="E545" s="2"/>
      <c r="F545" s="2"/>
    </row>
    <row r="546">
      <c r="C546" s="1"/>
      <c r="E546" s="2"/>
      <c r="F546" s="2"/>
    </row>
    <row r="547">
      <c r="C547" s="1"/>
      <c r="E547" s="2"/>
      <c r="F547" s="2"/>
    </row>
    <row r="548">
      <c r="C548" s="1"/>
      <c r="E548" s="2"/>
      <c r="F548" s="2"/>
    </row>
    <row r="549">
      <c r="C549" s="1"/>
      <c r="E549" s="2"/>
      <c r="F549" s="2"/>
    </row>
    <row r="550">
      <c r="C550" s="1"/>
      <c r="E550" s="2"/>
      <c r="F550" s="2"/>
    </row>
    <row r="551">
      <c r="C551" s="1"/>
      <c r="E551" s="2"/>
      <c r="F551" s="2"/>
    </row>
    <row r="552">
      <c r="C552" s="1"/>
      <c r="E552" s="2"/>
      <c r="F552" s="2"/>
    </row>
    <row r="553">
      <c r="C553" s="1"/>
      <c r="E553" s="2"/>
      <c r="F553" s="2"/>
    </row>
    <row r="554">
      <c r="C554" s="1"/>
      <c r="E554" s="2"/>
      <c r="F554" s="2"/>
    </row>
    <row r="555">
      <c r="C555" s="1"/>
      <c r="E555" s="2"/>
      <c r="F555" s="2"/>
    </row>
    <row r="556">
      <c r="C556" s="1"/>
      <c r="E556" s="2"/>
      <c r="F556" s="2"/>
    </row>
    <row r="557">
      <c r="C557" s="1"/>
      <c r="E557" s="2"/>
      <c r="F557" s="2"/>
    </row>
    <row r="558">
      <c r="C558" s="1"/>
      <c r="E558" s="2"/>
      <c r="F558" s="2"/>
    </row>
    <row r="559">
      <c r="C559" s="1"/>
      <c r="E559" s="2"/>
      <c r="F559" s="2"/>
    </row>
    <row r="560">
      <c r="C560" s="1"/>
      <c r="E560" s="2"/>
      <c r="F560" s="2"/>
    </row>
    <row r="561">
      <c r="C561" s="1"/>
      <c r="E561" s="2"/>
      <c r="F561" s="2"/>
    </row>
    <row r="562">
      <c r="C562" s="1"/>
      <c r="E562" s="2"/>
      <c r="F562" s="2"/>
    </row>
    <row r="563">
      <c r="C563" s="1"/>
      <c r="E563" s="2"/>
      <c r="F563" s="2"/>
    </row>
    <row r="564">
      <c r="C564" s="1"/>
      <c r="E564" s="2"/>
      <c r="F564" s="2"/>
    </row>
    <row r="565">
      <c r="C565" s="1"/>
      <c r="E565" s="2"/>
      <c r="F565" s="2"/>
    </row>
    <row r="566">
      <c r="C566" s="1"/>
      <c r="E566" s="2"/>
      <c r="F566" s="2"/>
    </row>
    <row r="567">
      <c r="C567" s="1"/>
      <c r="E567" s="2"/>
      <c r="F567" s="2"/>
    </row>
    <row r="568">
      <c r="C568" s="1"/>
      <c r="E568" s="2"/>
      <c r="F568" s="2"/>
    </row>
    <row r="569">
      <c r="C569" s="1"/>
      <c r="E569" s="2"/>
      <c r="F569" s="2"/>
    </row>
    <row r="570">
      <c r="C570" s="1"/>
      <c r="E570" s="2"/>
      <c r="F570" s="2"/>
    </row>
    <row r="571">
      <c r="C571" s="1"/>
      <c r="E571" s="2"/>
      <c r="F571" s="2"/>
    </row>
    <row r="572">
      <c r="C572" s="1"/>
      <c r="E572" s="2"/>
      <c r="F572" s="2"/>
    </row>
    <row r="573">
      <c r="C573" s="1"/>
      <c r="E573" s="2"/>
      <c r="F573" s="2"/>
    </row>
    <row r="574">
      <c r="C574" s="1"/>
      <c r="E574" s="2"/>
      <c r="F574" s="2"/>
    </row>
    <row r="575">
      <c r="C575" s="1"/>
      <c r="E575" s="2"/>
      <c r="F575" s="2"/>
    </row>
    <row r="576">
      <c r="C576" s="1"/>
      <c r="E576" s="2"/>
      <c r="F576" s="2"/>
    </row>
    <row r="577">
      <c r="C577" s="1"/>
      <c r="E577" s="2"/>
      <c r="F577" s="2"/>
    </row>
    <row r="578">
      <c r="C578" s="1"/>
      <c r="E578" s="2"/>
      <c r="F578" s="2"/>
    </row>
    <row r="579">
      <c r="C579" s="1"/>
      <c r="E579" s="2"/>
      <c r="F579" s="2"/>
    </row>
    <row r="580">
      <c r="C580" s="1"/>
      <c r="E580" s="2"/>
      <c r="F580" s="2"/>
    </row>
    <row r="581">
      <c r="C581" s="1"/>
      <c r="E581" s="2"/>
      <c r="F581" s="2"/>
    </row>
    <row r="582">
      <c r="C582" s="1"/>
      <c r="E582" s="2"/>
      <c r="F582" s="2"/>
    </row>
    <row r="583">
      <c r="C583" s="1"/>
      <c r="E583" s="2"/>
      <c r="F583" s="2"/>
    </row>
    <row r="584">
      <c r="C584" s="1"/>
      <c r="E584" s="2"/>
      <c r="F584" s="2"/>
    </row>
    <row r="585">
      <c r="C585" s="1"/>
      <c r="E585" s="2"/>
      <c r="F585" s="2"/>
    </row>
    <row r="586">
      <c r="C586" s="1"/>
      <c r="E586" s="2"/>
      <c r="F586" s="2"/>
    </row>
    <row r="587">
      <c r="C587" s="1"/>
      <c r="E587" s="2"/>
      <c r="F587" s="2"/>
    </row>
    <row r="588">
      <c r="C588" s="1"/>
      <c r="E588" s="2"/>
      <c r="F588" s="2"/>
    </row>
    <row r="589">
      <c r="C589" s="1"/>
      <c r="E589" s="2"/>
      <c r="F589" s="2"/>
    </row>
    <row r="590">
      <c r="C590" s="1"/>
      <c r="E590" s="2"/>
      <c r="F590" s="2"/>
    </row>
    <row r="591">
      <c r="C591" s="1"/>
      <c r="E591" s="2"/>
      <c r="F591" s="2"/>
    </row>
    <row r="592">
      <c r="C592" s="1"/>
      <c r="E592" s="2"/>
      <c r="F592" s="2"/>
    </row>
    <row r="593">
      <c r="C593" s="1"/>
      <c r="E593" s="2"/>
      <c r="F593" s="2"/>
    </row>
    <row r="594">
      <c r="C594" s="1"/>
      <c r="E594" s="2"/>
      <c r="F594" s="2"/>
    </row>
    <row r="595">
      <c r="C595" s="1"/>
      <c r="E595" s="2"/>
      <c r="F595" s="2"/>
    </row>
    <row r="596">
      <c r="C596" s="1"/>
      <c r="E596" s="2"/>
      <c r="F596" s="2"/>
    </row>
    <row r="597">
      <c r="C597" s="1"/>
      <c r="E597" s="2"/>
      <c r="F597" s="2"/>
    </row>
    <row r="598">
      <c r="C598" s="1"/>
      <c r="E598" s="2"/>
      <c r="F598" s="2"/>
    </row>
    <row r="599">
      <c r="C599" s="1"/>
      <c r="E599" s="2"/>
      <c r="F599" s="2"/>
    </row>
    <row r="600">
      <c r="C600" s="1"/>
      <c r="E600" s="2"/>
      <c r="F600" s="2"/>
    </row>
    <row r="601">
      <c r="C601" s="1"/>
      <c r="E601" s="2"/>
      <c r="F601" s="2"/>
    </row>
    <row r="602">
      <c r="C602" s="1"/>
      <c r="E602" s="2"/>
      <c r="F602" s="2"/>
    </row>
    <row r="603">
      <c r="C603" s="1"/>
      <c r="E603" s="2"/>
      <c r="F603" s="2"/>
    </row>
    <row r="604">
      <c r="C604" s="1"/>
      <c r="E604" s="2"/>
      <c r="F604" s="2"/>
    </row>
    <row r="605">
      <c r="C605" s="1"/>
      <c r="E605" s="2"/>
      <c r="F605" s="2"/>
    </row>
    <row r="606">
      <c r="C606" s="1"/>
      <c r="E606" s="2"/>
      <c r="F606" s="2"/>
    </row>
    <row r="607">
      <c r="C607" s="1"/>
      <c r="E607" s="2"/>
      <c r="F607" s="2"/>
    </row>
    <row r="608">
      <c r="C608" s="1"/>
      <c r="E608" s="2"/>
      <c r="F608" s="2"/>
    </row>
    <row r="609">
      <c r="C609" s="1"/>
      <c r="E609" s="2"/>
      <c r="F609" s="2"/>
    </row>
    <row r="610">
      <c r="C610" s="1"/>
      <c r="E610" s="2"/>
      <c r="F610" s="2"/>
    </row>
    <row r="611">
      <c r="C611" s="1"/>
      <c r="E611" s="2"/>
      <c r="F611" s="2"/>
    </row>
    <row r="612">
      <c r="C612" s="1"/>
      <c r="E612" s="2"/>
      <c r="F612" s="2"/>
    </row>
    <row r="613">
      <c r="C613" s="1"/>
      <c r="E613" s="2"/>
      <c r="F613" s="2"/>
    </row>
    <row r="614">
      <c r="C614" s="1"/>
      <c r="E614" s="2"/>
      <c r="F614" s="2"/>
    </row>
    <row r="615">
      <c r="C615" s="1"/>
      <c r="E615" s="2"/>
      <c r="F615" s="2"/>
    </row>
    <row r="616">
      <c r="C616" s="1"/>
      <c r="E616" s="2"/>
      <c r="F616" s="2"/>
    </row>
    <row r="617">
      <c r="C617" s="1"/>
      <c r="E617" s="2"/>
      <c r="F617" s="2"/>
    </row>
    <row r="618">
      <c r="C618" s="1"/>
      <c r="E618" s="2"/>
      <c r="F618" s="2"/>
    </row>
    <row r="619">
      <c r="C619" s="1"/>
      <c r="E619" s="2"/>
      <c r="F619" s="2"/>
    </row>
    <row r="620">
      <c r="C620" s="1"/>
      <c r="E620" s="2"/>
      <c r="F620" s="2"/>
    </row>
    <row r="621">
      <c r="C621" s="1"/>
      <c r="E621" s="2"/>
      <c r="F621" s="2"/>
    </row>
    <row r="622">
      <c r="C622" s="1"/>
      <c r="E622" s="2"/>
      <c r="F622" s="2"/>
    </row>
    <row r="623">
      <c r="C623" s="1"/>
      <c r="E623" s="2"/>
      <c r="F623" s="2"/>
    </row>
    <row r="624">
      <c r="C624" s="1"/>
      <c r="E624" s="2"/>
      <c r="F624" s="2"/>
    </row>
    <row r="625">
      <c r="C625" s="1"/>
      <c r="E625" s="2"/>
      <c r="F625" s="2"/>
    </row>
    <row r="626">
      <c r="C626" s="1"/>
      <c r="E626" s="2"/>
      <c r="F626" s="2"/>
    </row>
    <row r="627">
      <c r="C627" s="1"/>
      <c r="E627" s="2"/>
      <c r="F627" s="2"/>
    </row>
    <row r="628">
      <c r="C628" s="1"/>
      <c r="E628" s="2"/>
      <c r="F628" s="2"/>
    </row>
    <row r="629">
      <c r="C629" s="1"/>
      <c r="E629" s="2"/>
      <c r="F629" s="2"/>
    </row>
    <row r="630">
      <c r="C630" s="1"/>
      <c r="E630" s="2"/>
      <c r="F630" s="2"/>
    </row>
    <row r="631">
      <c r="C631" s="1"/>
      <c r="E631" s="2"/>
      <c r="F631" s="2"/>
    </row>
    <row r="632">
      <c r="C632" s="1"/>
      <c r="E632" s="2"/>
      <c r="F632" s="2"/>
    </row>
    <row r="633">
      <c r="C633" s="1"/>
      <c r="E633" s="2"/>
      <c r="F633" s="2"/>
    </row>
    <row r="634">
      <c r="C634" s="1"/>
      <c r="E634" s="2"/>
      <c r="F634" s="2"/>
    </row>
    <row r="635">
      <c r="C635" s="1"/>
      <c r="E635" s="2"/>
      <c r="F635" s="2"/>
    </row>
    <row r="636">
      <c r="C636" s="1"/>
      <c r="E636" s="2"/>
      <c r="F636" s="2"/>
    </row>
    <row r="637">
      <c r="C637" s="1"/>
      <c r="E637" s="2"/>
      <c r="F637" s="2"/>
    </row>
    <row r="638">
      <c r="C638" s="1"/>
      <c r="E638" s="2"/>
      <c r="F638" s="2"/>
    </row>
    <row r="639">
      <c r="C639" s="1"/>
      <c r="E639" s="2"/>
      <c r="F639" s="2"/>
    </row>
    <row r="640">
      <c r="C640" s="1"/>
      <c r="E640" s="2"/>
      <c r="F640" s="2"/>
    </row>
    <row r="641">
      <c r="C641" s="1"/>
      <c r="E641" s="2"/>
      <c r="F641" s="2"/>
    </row>
    <row r="642">
      <c r="C642" s="1"/>
      <c r="E642" s="2"/>
      <c r="F642" s="2"/>
    </row>
    <row r="643">
      <c r="C643" s="1"/>
      <c r="E643" s="2"/>
      <c r="F643" s="2"/>
    </row>
    <row r="644">
      <c r="C644" s="1"/>
      <c r="E644" s="2"/>
      <c r="F644" s="2"/>
    </row>
    <row r="645">
      <c r="C645" s="1"/>
      <c r="E645" s="2"/>
      <c r="F645" s="2"/>
    </row>
    <row r="646">
      <c r="C646" s="1"/>
      <c r="E646" s="2"/>
      <c r="F646" s="2"/>
    </row>
    <row r="647">
      <c r="C647" s="1"/>
      <c r="E647" s="2"/>
      <c r="F647" s="2"/>
    </row>
    <row r="648">
      <c r="C648" s="1"/>
      <c r="E648" s="2"/>
      <c r="F648" s="2"/>
    </row>
    <row r="649">
      <c r="C649" s="1"/>
      <c r="E649" s="2"/>
      <c r="F649" s="2"/>
    </row>
    <row r="650">
      <c r="C650" s="1"/>
      <c r="E650" s="2"/>
      <c r="F650" s="2"/>
    </row>
    <row r="651">
      <c r="C651" s="1"/>
      <c r="E651" s="2"/>
      <c r="F651" s="2"/>
    </row>
    <row r="652">
      <c r="C652" s="1"/>
      <c r="E652" s="2"/>
      <c r="F652" s="2"/>
    </row>
    <row r="653">
      <c r="C653" s="1"/>
      <c r="E653" s="2"/>
      <c r="F653" s="2"/>
    </row>
    <row r="654">
      <c r="C654" s="1"/>
      <c r="E654" s="2"/>
      <c r="F654" s="2"/>
    </row>
    <row r="655">
      <c r="C655" s="1"/>
      <c r="E655" s="2"/>
      <c r="F655" s="2"/>
    </row>
    <row r="656">
      <c r="C656" s="1"/>
      <c r="E656" s="2"/>
      <c r="F656" s="2"/>
    </row>
    <row r="657">
      <c r="C657" s="1"/>
      <c r="E657" s="2"/>
      <c r="F657" s="2"/>
    </row>
    <row r="658">
      <c r="C658" s="1"/>
      <c r="E658" s="2"/>
      <c r="F658" s="2"/>
    </row>
    <row r="659">
      <c r="C659" s="1"/>
      <c r="E659" s="2"/>
      <c r="F659" s="2"/>
    </row>
    <row r="660">
      <c r="C660" s="1"/>
      <c r="E660" s="2"/>
      <c r="F660" s="2"/>
    </row>
    <row r="661">
      <c r="C661" s="1"/>
      <c r="E661" s="2"/>
      <c r="F661" s="2"/>
    </row>
    <row r="662">
      <c r="C662" s="1"/>
      <c r="E662" s="2"/>
      <c r="F662" s="2"/>
    </row>
    <row r="663">
      <c r="C663" s="1"/>
      <c r="E663" s="2"/>
      <c r="F663" s="2"/>
    </row>
    <row r="664">
      <c r="C664" s="1"/>
      <c r="E664" s="2"/>
      <c r="F664" s="2"/>
    </row>
    <row r="665">
      <c r="C665" s="1"/>
      <c r="E665" s="2"/>
      <c r="F665" s="2"/>
    </row>
    <row r="666">
      <c r="C666" s="1"/>
      <c r="E666" s="2"/>
      <c r="F666" s="2"/>
    </row>
    <row r="667">
      <c r="C667" s="1"/>
      <c r="E667" s="2"/>
      <c r="F667" s="2"/>
    </row>
    <row r="668">
      <c r="C668" s="1"/>
      <c r="E668" s="2"/>
      <c r="F668" s="2"/>
    </row>
    <row r="669">
      <c r="C669" s="1"/>
      <c r="E669" s="2"/>
      <c r="F669" s="2"/>
    </row>
    <row r="670">
      <c r="C670" s="1"/>
      <c r="E670" s="2"/>
      <c r="F670" s="2"/>
    </row>
    <row r="671">
      <c r="C671" s="1"/>
      <c r="E671" s="2"/>
      <c r="F671" s="2"/>
    </row>
    <row r="672">
      <c r="C672" s="1"/>
      <c r="E672" s="2"/>
      <c r="F672" s="2"/>
    </row>
    <row r="673">
      <c r="C673" s="1"/>
      <c r="E673" s="2"/>
      <c r="F673" s="2"/>
    </row>
    <row r="674">
      <c r="C674" s="1"/>
      <c r="E674" s="2"/>
      <c r="F674" s="2"/>
    </row>
    <row r="675">
      <c r="C675" s="1"/>
      <c r="E675" s="2"/>
      <c r="F675" s="2"/>
    </row>
    <row r="676">
      <c r="C676" s="1"/>
      <c r="E676" s="2"/>
      <c r="F676" s="2"/>
    </row>
    <row r="677">
      <c r="C677" s="1"/>
      <c r="E677" s="2"/>
      <c r="F677" s="2"/>
    </row>
    <row r="678">
      <c r="C678" s="1"/>
      <c r="E678" s="2"/>
      <c r="F678" s="2"/>
    </row>
    <row r="679">
      <c r="C679" s="1"/>
      <c r="E679" s="2"/>
      <c r="F679" s="2"/>
    </row>
    <row r="680">
      <c r="C680" s="1"/>
      <c r="E680" s="2"/>
      <c r="F680" s="2"/>
    </row>
    <row r="681">
      <c r="C681" s="1"/>
      <c r="E681" s="2"/>
      <c r="F681" s="2"/>
    </row>
    <row r="682">
      <c r="C682" s="1"/>
      <c r="E682" s="2"/>
      <c r="F682" s="2"/>
    </row>
    <row r="683">
      <c r="C683" s="1"/>
      <c r="E683" s="2"/>
      <c r="F683" s="2"/>
    </row>
    <row r="684">
      <c r="C684" s="1"/>
      <c r="E684" s="2"/>
      <c r="F684" s="2"/>
    </row>
    <row r="685">
      <c r="C685" s="1"/>
      <c r="E685" s="2"/>
      <c r="F685" s="2"/>
    </row>
    <row r="686">
      <c r="C686" s="1"/>
      <c r="E686" s="2"/>
      <c r="F686" s="2"/>
    </row>
    <row r="687">
      <c r="C687" s="1"/>
      <c r="E687" s="2"/>
      <c r="F687" s="2"/>
    </row>
    <row r="688">
      <c r="C688" s="1"/>
      <c r="E688" s="2"/>
      <c r="F688" s="2"/>
    </row>
    <row r="689">
      <c r="C689" s="1"/>
      <c r="E689" s="2"/>
      <c r="F689" s="2"/>
    </row>
    <row r="690">
      <c r="C690" s="1"/>
      <c r="E690" s="2"/>
      <c r="F690" s="2"/>
    </row>
    <row r="691">
      <c r="C691" s="1"/>
      <c r="E691" s="2"/>
      <c r="F691" s="2"/>
    </row>
    <row r="692">
      <c r="C692" s="1"/>
      <c r="E692" s="2"/>
      <c r="F692" s="2"/>
    </row>
    <row r="693">
      <c r="C693" s="1"/>
      <c r="E693" s="2"/>
      <c r="F693" s="2"/>
    </row>
    <row r="694">
      <c r="C694" s="1"/>
      <c r="E694" s="2"/>
      <c r="F694" s="2"/>
    </row>
    <row r="695">
      <c r="C695" s="1"/>
      <c r="E695" s="2"/>
      <c r="F695" s="2"/>
    </row>
    <row r="696">
      <c r="C696" s="1"/>
      <c r="E696" s="2"/>
      <c r="F696" s="2"/>
    </row>
    <row r="697">
      <c r="C697" s="1"/>
      <c r="E697" s="2"/>
      <c r="F697" s="2"/>
    </row>
    <row r="698">
      <c r="C698" s="1"/>
      <c r="E698" s="2"/>
      <c r="F698" s="2"/>
    </row>
    <row r="699">
      <c r="C699" s="1"/>
      <c r="E699" s="2"/>
      <c r="F699" s="2"/>
    </row>
    <row r="700">
      <c r="C700" s="1"/>
      <c r="E700" s="2"/>
      <c r="F700" s="2"/>
    </row>
    <row r="701">
      <c r="C701" s="1"/>
      <c r="E701" s="2"/>
      <c r="F701" s="2"/>
    </row>
    <row r="702">
      <c r="C702" s="1"/>
      <c r="E702" s="2"/>
      <c r="F702" s="2"/>
    </row>
    <row r="703">
      <c r="C703" s="1"/>
      <c r="E703" s="2"/>
      <c r="F703" s="2"/>
    </row>
    <row r="704">
      <c r="C704" s="1"/>
      <c r="E704" s="2"/>
      <c r="F704" s="2"/>
    </row>
    <row r="705">
      <c r="C705" s="1"/>
      <c r="E705" s="2"/>
      <c r="F705" s="2"/>
    </row>
    <row r="706">
      <c r="C706" s="1"/>
      <c r="E706" s="2"/>
      <c r="F706" s="2"/>
    </row>
    <row r="707">
      <c r="C707" s="1"/>
      <c r="E707" s="2"/>
      <c r="F707" s="2"/>
    </row>
    <row r="708">
      <c r="C708" s="1"/>
      <c r="E708" s="2"/>
      <c r="F708" s="2"/>
    </row>
    <row r="709">
      <c r="C709" s="1"/>
      <c r="E709" s="2"/>
      <c r="F709" s="2"/>
    </row>
    <row r="710">
      <c r="C710" s="1"/>
      <c r="E710" s="2"/>
      <c r="F710" s="2"/>
    </row>
    <row r="711">
      <c r="C711" s="1"/>
      <c r="E711" s="2"/>
      <c r="F711" s="2"/>
    </row>
    <row r="712">
      <c r="C712" s="1"/>
      <c r="E712" s="2"/>
      <c r="F712" s="2"/>
    </row>
    <row r="713">
      <c r="C713" s="1"/>
      <c r="E713" s="2"/>
      <c r="F713" s="2"/>
    </row>
    <row r="714">
      <c r="C714" s="1"/>
      <c r="E714" s="2"/>
      <c r="F714" s="2"/>
    </row>
    <row r="715">
      <c r="C715" s="1"/>
      <c r="E715" s="2"/>
      <c r="F715" s="2"/>
    </row>
    <row r="716">
      <c r="C716" s="1"/>
      <c r="E716" s="2"/>
      <c r="F716" s="2"/>
    </row>
    <row r="717">
      <c r="C717" s="1"/>
      <c r="E717" s="2"/>
      <c r="F717" s="2"/>
    </row>
    <row r="718">
      <c r="C718" s="1"/>
      <c r="E718" s="2"/>
      <c r="F718" s="2"/>
    </row>
    <row r="719">
      <c r="C719" s="1"/>
      <c r="E719" s="2"/>
      <c r="F719" s="2"/>
    </row>
    <row r="720">
      <c r="C720" s="1"/>
      <c r="E720" s="2"/>
      <c r="F720" s="2"/>
    </row>
    <row r="721">
      <c r="C721" s="1"/>
      <c r="E721" s="2"/>
      <c r="F721" s="2"/>
    </row>
    <row r="722">
      <c r="C722" s="1"/>
      <c r="E722" s="2"/>
      <c r="F722" s="2"/>
    </row>
    <row r="723">
      <c r="C723" s="1"/>
      <c r="E723" s="2"/>
      <c r="F723" s="2"/>
    </row>
    <row r="724">
      <c r="C724" s="1"/>
      <c r="E724" s="2"/>
      <c r="F724" s="2"/>
    </row>
    <row r="725">
      <c r="C725" s="1"/>
      <c r="E725" s="2"/>
      <c r="F725" s="2"/>
    </row>
    <row r="726">
      <c r="C726" s="1"/>
      <c r="E726" s="2"/>
      <c r="F726" s="2"/>
    </row>
    <row r="727">
      <c r="C727" s="1"/>
      <c r="E727" s="2"/>
      <c r="F727" s="2"/>
    </row>
    <row r="728">
      <c r="C728" s="1"/>
      <c r="E728" s="2"/>
      <c r="F728" s="2"/>
    </row>
    <row r="729">
      <c r="C729" s="1"/>
      <c r="E729" s="2"/>
      <c r="F729" s="2"/>
    </row>
    <row r="730">
      <c r="C730" s="1"/>
      <c r="E730" s="2"/>
      <c r="F730" s="2"/>
    </row>
    <row r="731">
      <c r="C731" s="1"/>
      <c r="E731" s="2"/>
      <c r="F731" s="2"/>
    </row>
    <row r="732">
      <c r="C732" s="1"/>
      <c r="E732" s="2"/>
      <c r="F732" s="2"/>
    </row>
    <row r="733">
      <c r="C733" s="1"/>
      <c r="E733" s="2"/>
      <c r="F733" s="2"/>
    </row>
    <row r="734">
      <c r="C734" s="1"/>
      <c r="E734" s="2"/>
      <c r="F734" s="2"/>
    </row>
    <row r="735">
      <c r="C735" s="1"/>
      <c r="E735" s="2"/>
      <c r="F735" s="2"/>
    </row>
    <row r="736">
      <c r="C736" s="1"/>
      <c r="E736" s="2"/>
      <c r="F736" s="2"/>
    </row>
    <row r="737">
      <c r="C737" s="1"/>
      <c r="E737" s="2"/>
      <c r="F737" s="2"/>
    </row>
    <row r="738">
      <c r="C738" s="1"/>
      <c r="E738" s="2"/>
      <c r="F738" s="2"/>
    </row>
    <row r="739">
      <c r="C739" s="1"/>
      <c r="E739" s="2"/>
      <c r="F739" s="2"/>
    </row>
    <row r="740">
      <c r="C740" s="1"/>
      <c r="E740" s="2"/>
      <c r="F740" s="2"/>
    </row>
    <row r="741">
      <c r="C741" s="1"/>
      <c r="E741" s="2"/>
      <c r="F741" s="2"/>
    </row>
    <row r="742">
      <c r="C742" s="1"/>
      <c r="E742" s="2"/>
      <c r="F742" s="2"/>
    </row>
    <row r="743">
      <c r="C743" s="1"/>
      <c r="E743" s="2"/>
      <c r="F743" s="2"/>
    </row>
    <row r="744">
      <c r="C744" s="1"/>
      <c r="E744" s="2"/>
      <c r="F744" s="2"/>
    </row>
    <row r="745">
      <c r="C745" s="1"/>
      <c r="E745" s="2"/>
      <c r="F745" s="2"/>
    </row>
    <row r="746">
      <c r="C746" s="1"/>
      <c r="E746" s="2"/>
      <c r="F746" s="2"/>
    </row>
    <row r="747">
      <c r="C747" s="1"/>
      <c r="E747" s="2"/>
      <c r="F747" s="2"/>
    </row>
    <row r="748">
      <c r="C748" s="1"/>
      <c r="E748" s="2"/>
      <c r="F748" s="2"/>
    </row>
    <row r="749">
      <c r="C749" s="1"/>
      <c r="E749" s="2"/>
      <c r="F749" s="2"/>
    </row>
    <row r="750">
      <c r="C750" s="1"/>
      <c r="E750" s="2"/>
      <c r="F750" s="2"/>
    </row>
    <row r="751">
      <c r="C751" s="1"/>
      <c r="E751" s="2"/>
      <c r="F751" s="2"/>
    </row>
    <row r="752">
      <c r="C752" s="1"/>
      <c r="E752" s="2"/>
      <c r="F752" s="2"/>
    </row>
    <row r="753">
      <c r="C753" s="1"/>
      <c r="E753" s="2"/>
      <c r="F753" s="2"/>
    </row>
    <row r="754">
      <c r="C754" s="1"/>
      <c r="E754" s="2"/>
      <c r="F754" s="2"/>
    </row>
    <row r="755">
      <c r="C755" s="1"/>
      <c r="E755" s="2"/>
      <c r="F755" s="2"/>
    </row>
    <row r="756">
      <c r="C756" s="1"/>
      <c r="E756" s="2"/>
      <c r="F756" s="2"/>
    </row>
    <row r="757">
      <c r="C757" s="1"/>
      <c r="E757" s="2"/>
      <c r="F757" s="2"/>
    </row>
    <row r="758">
      <c r="C758" s="1"/>
      <c r="E758" s="2"/>
      <c r="F758" s="2"/>
    </row>
    <row r="759">
      <c r="C759" s="1"/>
      <c r="E759" s="2"/>
      <c r="F759" s="2"/>
    </row>
    <row r="760">
      <c r="C760" s="1"/>
      <c r="E760" s="2"/>
      <c r="F760" s="2"/>
    </row>
    <row r="761">
      <c r="C761" s="1"/>
      <c r="E761" s="2"/>
      <c r="F761" s="2"/>
    </row>
    <row r="762">
      <c r="C762" s="1"/>
      <c r="E762" s="2"/>
      <c r="F762" s="2"/>
    </row>
    <row r="763">
      <c r="C763" s="1"/>
      <c r="E763" s="2"/>
      <c r="F763" s="2"/>
    </row>
    <row r="764">
      <c r="C764" s="1"/>
      <c r="E764" s="2"/>
      <c r="F764" s="2"/>
    </row>
    <row r="765">
      <c r="C765" s="1"/>
      <c r="E765" s="2"/>
      <c r="F765" s="2"/>
    </row>
    <row r="766">
      <c r="C766" s="1"/>
      <c r="E766" s="2"/>
      <c r="F766" s="2"/>
    </row>
    <row r="767">
      <c r="C767" s="1"/>
      <c r="E767" s="2"/>
      <c r="F767" s="2"/>
    </row>
    <row r="768">
      <c r="C768" s="1"/>
      <c r="E768" s="2"/>
      <c r="F768" s="2"/>
    </row>
    <row r="769">
      <c r="C769" s="1"/>
      <c r="E769" s="2"/>
      <c r="F769" s="2"/>
    </row>
    <row r="770">
      <c r="C770" s="1"/>
      <c r="E770" s="2"/>
      <c r="F770" s="2"/>
    </row>
    <row r="771">
      <c r="C771" s="1"/>
      <c r="E771" s="2"/>
      <c r="F771" s="2"/>
    </row>
    <row r="772">
      <c r="C772" s="1"/>
      <c r="E772" s="2"/>
      <c r="F772" s="2"/>
    </row>
    <row r="773">
      <c r="C773" s="1"/>
      <c r="E773" s="2"/>
      <c r="F773" s="2"/>
    </row>
    <row r="774">
      <c r="C774" s="1"/>
      <c r="E774" s="2"/>
      <c r="F774" s="2"/>
    </row>
    <row r="775">
      <c r="C775" s="1"/>
      <c r="E775" s="2"/>
      <c r="F775" s="2"/>
    </row>
    <row r="776">
      <c r="C776" s="1"/>
      <c r="E776" s="2"/>
      <c r="F776" s="2"/>
    </row>
    <row r="777">
      <c r="C777" s="1"/>
      <c r="E777" s="2"/>
      <c r="F777" s="2"/>
    </row>
    <row r="778">
      <c r="C778" s="1"/>
      <c r="E778" s="2"/>
      <c r="F778" s="2"/>
    </row>
    <row r="779">
      <c r="C779" s="1"/>
      <c r="E779" s="2"/>
      <c r="F779" s="2"/>
    </row>
    <row r="780">
      <c r="C780" s="1"/>
      <c r="E780" s="2"/>
      <c r="F780" s="2"/>
    </row>
    <row r="781">
      <c r="C781" s="1"/>
      <c r="E781" s="2"/>
      <c r="F781" s="2"/>
    </row>
    <row r="782">
      <c r="C782" s="1"/>
      <c r="E782" s="2"/>
      <c r="F782" s="2"/>
    </row>
    <row r="783">
      <c r="C783" s="1"/>
      <c r="E783" s="2"/>
      <c r="F783" s="2"/>
    </row>
    <row r="784">
      <c r="C784" s="1"/>
      <c r="E784" s="2"/>
      <c r="F784" s="2"/>
    </row>
    <row r="785">
      <c r="C785" s="1"/>
      <c r="E785" s="2"/>
      <c r="F785" s="2"/>
    </row>
    <row r="786">
      <c r="C786" s="1"/>
      <c r="E786" s="2"/>
      <c r="F786" s="2"/>
    </row>
    <row r="787">
      <c r="C787" s="1"/>
      <c r="E787" s="2"/>
      <c r="F787" s="2"/>
    </row>
    <row r="788">
      <c r="C788" s="1"/>
      <c r="E788" s="2"/>
      <c r="F788" s="2"/>
    </row>
    <row r="789">
      <c r="C789" s="1"/>
      <c r="E789" s="2"/>
      <c r="F789" s="2"/>
    </row>
    <row r="790">
      <c r="C790" s="1"/>
      <c r="E790" s="2"/>
      <c r="F790" s="2"/>
    </row>
    <row r="791">
      <c r="C791" s="1"/>
      <c r="E791" s="2"/>
      <c r="F791" s="2"/>
    </row>
    <row r="792">
      <c r="C792" s="1"/>
      <c r="E792" s="2"/>
      <c r="F792" s="2"/>
    </row>
    <row r="793">
      <c r="C793" s="1"/>
      <c r="E793" s="2"/>
      <c r="F793" s="2"/>
    </row>
    <row r="794">
      <c r="C794" s="1"/>
      <c r="E794" s="2"/>
      <c r="F794" s="2"/>
    </row>
    <row r="795">
      <c r="C795" s="1"/>
      <c r="E795" s="2"/>
      <c r="F795" s="2"/>
    </row>
    <row r="796">
      <c r="C796" s="1"/>
      <c r="E796" s="2"/>
      <c r="F796" s="2"/>
    </row>
    <row r="797">
      <c r="C797" s="1"/>
      <c r="E797" s="2"/>
      <c r="F797" s="2"/>
    </row>
    <row r="798">
      <c r="C798" s="1"/>
      <c r="E798" s="2"/>
      <c r="F798" s="2"/>
    </row>
    <row r="799">
      <c r="C799" s="1"/>
      <c r="E799" s="2"/>
      <c r="F799" s="2"/>
    </row>
    <row r="800">
      <c r="C800" s="1"/>
      <c r="E800" s="2"/>
      <c r="F800" s="2"/>
    </row>
    <row r="801">
      <c r="C801" s="1"/>
      <c r="E801" s="2"/>
      <c r="F801" s="2"/>
    </row>
    <row r="802">
      <c r="C802" s="1"/>
      <c r="E802" s="2"/>
      <c r="F802" s="2"/>
    </row>
    <row r="803">
      <c r="C803" s="1"/>
      <c r="E803" s="2"/>
      <c r="F803" s="2"/>
    </row>
    <row r="804">
      <c r="C804" s="1"/>
      <c r="E804" s="2"/>
      <c r="F804" s="2"/>
    </row>
    <row r="805">
      <c r="C805" s="1"/>
      <c r="E805" s="2"/>
      <c r="F805" s="2"/>
    </row>
    <row r="806">
      <c r="C806" s="1"/>
      <c r="E806" s="2"/>
      <c r="F806" s="2"/>
    </row>
    <row r="807">
      <c r="C807" s="1"/>
      <c r="E807" s="2"/>
      <c r="F807" s="2"/>
    </row>
    <row r="808">
      <c r="C808" s="1"/>
      <c r="E808" s="2"/>
      <c r="F808" s="2"/>
    </row>
    <row r="809">
      <c r="C809" s="1"/>
      <c r="E809" s="2"/>
      <c r="F809" s="2"/>
    </row>
    <row r="810">
      <c r="C810" s="1"/>
      <c r="E810" s="2"/>
      <c r="F810" s="2"/>
    </row>
    <row r="811">
      <c r="C811" s="1"/>
      <c r="E811" s="2"/>
      <c r="F811" s="2"/>
    </row>
    <row r="812">
      <c r="C812" s="1"/>
      <c r="E812" s="2"/>
      <c r="F812" s="2"/>
    </row>
    <row r="813">
      <c r="C813" s="1"/>
      <c r="E813" s="2"/>
      <c r="F813" s="2"/>
    </row>
    <row r="814">
      <c r="C814" s="1"/>
      <c r="E814" s="2"/>
      <c r="F814" s="2"/>
    </row>
    <row r="815">
      <c r="C815" s="1"/>
      <c r="E815" s="2"/>
      <c r="F815" s="2"/>
    </row>
    <row r="816">
      <c r="C816" s="1"/>
      <c r="E816" s="2"/>
      <c r="F816" s="2"/>
    </row>
    <row r="817">
      <c r="C817" s="1"/>
      <c r="E817" s="2"/>
      <c r="F817" s="2"/>
    </row>
    <row r="818">
      <c r="C818" s="1"/>
      <c r="E818" s="2"/>
      <c r="F818" s="2"/>
    </row>
    <row r="819">
      <c r="C819" s="1"/>
      <c r="E819" s="2"/>
      <c r="F819" s="2"/>
    </row>
    <row r="820">
      <c r="C820" s="1"/>
      <c r="E820" s="2"/>
      <c r="F820" s="2"/>
    </row>
    <row r="821">
      <c r="C821" s="1"/>
      <c r="E821" s="2"/>
      <c r="F821" s="2"/>
    </row>
    <row r="822">
      <c r="C822" s="1"/>
      <c r="E822" s="2"/>
      <c r="F822" s="2"/>
    </row>
    <row r="823">
      <c r="C823" s="1"/>
      <c r="E823" s="2"/>
      <c r="F823" s="2"/>
    </row>
    <row r="824">
      <c r="C824" s="1"/>
      <c r="E824" s="2"/>
      <c r="F824" s="2"/>
    </row>
    <row r="825">
      <c r="C825" s="1"/>
      <c r="E825" s="2"/>
      <c r="F825" s="2"/>
    </row>
    <row r="826">
      <c r="C826" s="1"/>
      <c r="E826" s="2"/>
      <c r="F826" s="2"/>
    </row>
    <row r="827">
      <c r="C827" s="1"/>
      <c r="E827" s="2"/>
      <c r="F827" s="2"/>
    </row>
    <row r="828">
      <c r="C828" s="1"/>
      <c r="E828" s="2"/>
      <c r="F828" s="2"/>
    </row>
    <row r="829">
      <c r="C829" s="1"/>
      <c r="E829" s="2"/>
      <c r="F829" s="2"/>
    </row>
    <row r="830">
      <c r="C830" s="1"/>
      <c r="E830" s="2"/>
      <c r="F830" s="2"/>
    </row>
    <row r="831">
      <c r="C831" s="1"/>
      <c r="E831" s="2"/>
      <c r="F831" s="2"/>
    </row>
    <row r="832">
      <c r="C832" s="1"/>
      <c r="E832" s="2"/>
      <c r="F832" s="2"/>
    </row>
    <row r="833">
      <c r="C833" s="1"/>
      <c r="E833" s="2"/>
      <c r="F833" s="2"/>
    </row>
    <row r="834">
      <c r="C834" s="1"/>
      <c r="E834" s="2"/>
      <c r="F834" s="2"/>
    </row>
    <row r="835">
      <c r="C835" s="1"/>
      <c r="E835" s="2"/>
      <c r="F835" s="2"/>
    </row>
    <row r="836">
      <c r="C836" s="1"/>
      <c r="E836" s="2"/>
      <c r="F836" s="2"/>
    </row>
    <row r="837">
      <c r="C837" s="1"/>
      <c r="E837" s="2"/>
      <c r="F837" s="2"/>
    </row>
    <row r="838">
      <c r="C838" s="1"/>
      <c r="E838" s="2"/>
      <c r="F838" s="2"/>
    </row>
    <row r="839">
      <c r="C839" s="1"/>
      <c r="E839" s="2"/>
      <c r="F839" s="2"/>
    </row>
    <row r="840">
      <c r="C840" s="1"/>
      <c r="E840" s="2"/>
      <c r="F840" s="2"/>
    </row>
    <row r="841">
      <c r="C841" s="1"/>
      <c r="E841" s="2"/>
      <c r="F841" s="2"/>
    </row>
    <row r="842">
      <c r="C842" s="1"/>
      <c r="E842" s="2"/>
      <c r="F842" s="2"/>
    </row>
    <row r="843">
      <c r="C843" s="1"/>
      <c r="E843" s="2"/>
      <c r="F843" s="2"/>
    </row>
    <row r="844">
      <c r="C844" s="1"/>
      <c r="E844" s="2"/>
      <c r="F844" s="2"/>
    </row>
    <row r="845">
      <c r="C845" s="1"/>
      <c r="E845" s="2"/>
      <c r="F845" s="2"/>
    </row>
    <row r="846">
      <c r="C846" s="1"/>
      <c r="E846" s="2"/>
      <c r="F846" s="2"/>
    </row>
    <row r="847">
      <c r="C847" s="1"/>
      <c r="E847" s="2"/>
      <c r="F847" s="2"/>
    </row>
    <row r="848">
      <c r="C848" s="1"/>
      <c r="E848" s="2"/>
      <c r="F848" s="2"/>
    </row>
    <row r="849">
      <c r="C849" s="1"/>
      <c r="E849" s="2"/>
      <c r="F849" s="2"/>
    </row>
    <row r="850">
      <c r="C850" s="1"/>
      <c r="E850" s="2"/>
      <c r="F850" s="2"/>
    </row>
    <row r="851">
      <c r="C851" s="1"/>
      <c r="E851" s="2"/>
      <c r="F851" s="2"/>
    </row>
    <row r="852">
      <c r="C852" s="1"/>
      <c r="E852" s="2"/>
      <c r="F852" s="2"/>
    </row>
    <row r="853">
      <c r="C853" s="1"/>
      <c r="E853" s="2"/>
      <c r="F853" s="2"/>
    </row>
    <row r="854">
      <c r="C854" s="1"/>
      <c r="E854" s="2"/>
      <c r="F854" s="2"/>
    </row>
    <row r="855">
      <c r="C855" s="1"/>
      <c r="E855" s="2"/>
      <c r="F855" s="2"/>
    </row>
    <row r="856">
      <c r="C856" s="1"/>
      <c r="E856" s="2"/>
      <c r="F856" s="2"/>
    </row>
    <row r="857">
      <c r="C857" s="1"/>
      <c r="E857" s="2"/>
      <c r="F857" s="2"/>
    </row>
    <row r="858">
      <c r="C858" s="1"/>
      <c r="E858" s="2"/>
      <c r="F858" s="2"/>
    </row>
    <row r="859">
      <c r="C859" s="1"/>
      <c r="E859" s="2"/>
      <c r="F859" s="2"/>
    </row>
    <row r="860">
      <c r="C860" s="1"/>
      <c r="E860" s="2"/>
      <c r="F860" s="2"/>
    </row>
    <row r="861">
      <c r="C861" s="1"/>
      <c r="E861" s="2"/>
      <c r="F861" s="2"/>
    </row>
    <row r="862">
      <c r="C862" s="1"/>
      <c r="E862" s="2"/>
      <c r="F862" s="2"/>
    </row>
    <row r="863">
      <c r="C863" s="1"/>
      <c r="E863" s="2"/>
      <c r="F863" s="2"/>
    </row>
    <row r="864">
      <c r="C864" s="1"/>
      <c r="E864" s="2"/>
      <c r="F864" s="2"/>
    </row>
    <row r="865">
      <c r="C865" s="1"/>
      <c r="E865" s="2"/>
      <c r="F865" s="2"/>
    </row>
    <row r="866">
      <c r="C866" s="1"/>
      <c r="E866" s="2"/>
      <c r="F866" s="2"/>
    </row>
    <row r="867">
      <c r="C867" s="1"/>
      <c r="E867" s="2"/>
      <c r="F867" s="2"/>
    </row>
    <row r="868">
      <c r="C868" s="1"/>
      <c r="E868" s="2"/>
      <c r="F868" s="2"/>
    </row>
    <row r="869">
      <c r="C869" s="1"/>
      <c r="E869" s="2"/>
      <c r="F869" s="2"/>
    </row>
    <row r="870">
      <c r="C870" s="1"/>
      <c r="E870" s="2"/>
      <c r="F870" s="2"/>
    </row>
    <row r="871">
      <c r="C871" s="1"/>
      <c r="E871" s="2"/>
      <c r="F871" s="2"/>
    </row>
    <row r="872">
      <c r="C872" s="1"/>
      <c r="E872" s="2"/>
      <c r="F872" s="2"/>
    </row>
    <row r="873">
      <c r="C873" s="1"/>
      <c r="E873" s="2"/>
      <c r="F873" s="2"/>
    </row>
    <row r="874">
      <c r="C874" s="1"/>
      <c r="E874" s="2"/>
      <c r="F874" s="2"/>
    </row>
    <row r="875">
      <c r="C875" s="1"/>
      <c r="E875" s="2"/>
      <c r="F875" s="2"/>
    </row>
    <row r="876">
      <c r="C876" s="1"/>
      <c r="E876" s="2"/>
      <c r="F876" s="2"/>
    </row>
    <row r="877">
      <c r="C877" s="1"/>
      <c r="E877" s="2"/>
      <c r="F877" s="2"/>
    </row>
    <row r="878">
      <c r="C878" s="1"/>
      <c r="E878" s="2"/>
      <c r="F878" s="2"/>
    </row>
    <row r="879">
      <c r="C879" s="1"/>
      <c r="E879" s="2"/>
      <c r="F879" s="2"/>
    </row>
    <row r="880">
      <c r="C880" s="1"/>
      <c r="E880" s="2"/>
      <c r="F880" s="2"/>
    </row>
    <row r="881">
      <c r="C881" s="1"/>
      <c r="E881" s="2"/>
      <c r="F881" s="2"/>
    </row>
    <row r="882">
      <c r="C882" s="1"/>
      <c r="E882" s="2"/>
      <c r="F882" s="2"/>
    </row>
    <row r="883">
      <c r="C883" s="1"/>
      <c r="E883" s="2"/>
      <c r="F883" s="2"/>
    </row>
    <row r="884">
      <c r="C884" s="1"/>
      <c r="E884" s="2"/>
      <c r="F884" s="2"/>
    </row>
    <row r="885">
      <c r="C885" s="1"/>
      <c r="E885" s="2"/>
      <c r="F885" s="2"/>
    </row>
    <row r="886">
      <c r="C886" s="1"/>
      <c r="E886" s="2"/>
      <c r="F886" s="2"/>
    </row>
    <row r="887">
      <c r="C887" s="1"/>
      <c r="E887" s="2"/>
      <c r="F887" s="2"/>
    </row>
    <row r="888">
      <c r="C888" s="1"/>
      <c r="E888" s="2"/>
      <c r="F888" s="2"/>
    </row>
    <row r="889">
      <c r="C889" s="1"/>
      <c r="E889" s="2"/>
      <c r="F889" s="2"/>
    </row>
    <row r="890">
      <c r="C890" s="1"/>
      <c r="E890" s="2"/>
      <c r="F890" s="2"/>
    </row>
    <row r="891">
      <c r="C891" s="1"/>
      <c r="E891" s="2"/>
      <c r="F891" s="2"/>
    </row>
    <row r="892">
      <c r="C892" s="1"/>
      <c r="E892" s="2"/>
      <c r="F892" s="2"/>
    </row>
    <row r="893">
      <c r="C893" s="1"/>
      <c r="E893" s="2"/>
      <c r="F893" s="2"/>
    </row>
    <row r="894">
      <c r="C894" s="1"/>
      <c r="E894" s="2"/>
      <c r="F894" s="2"/>
    </row>
    <row r="895">
      <c r="C895" s="1"/>
      <c r="E895" s="2"/>
      <c r="F895" s="2"/>
    </row>
    <row r="896">
      <c r="C896" s="1"/>
      <c r="E896" s="2"/>
      <c r="F896" s="2"/>
    </row>
    <row r="897">
      <c r="C897" s="1"/>
      <c r="E897" s="2"/>
      <c r="F897" s="2"/>
    </row>
    <row r="898">
      <c r="C898" s="1"/>
      <c r="E898" s="2"/>
      <c r="F898" s="2"/>
    </row>
    <row r="899">
      <c r="C899" s="1"/>
      <c r="E899" s="2"/>
      <c r="F899" s="2"/>
    </row>
    <row r="900">
      <c r="C900" s="1"/>
      <c r="E900" s="2"/>
      <c r="F900" s="2"/>
    </row>
    <row r="901">
      <c r="C901" s="1"/>
      <c r="E901" s="2"/>
      <c r="F901" s="2"/>
    </row>
    <row r="902">
      <c r="C902" s="1"/>
      <c r="E902" s="2"/>
      <c r="F902" s="2"/>
    </row>
    <row r="903">
      <c r="C903" s="1"/>
      <c r="E903" s="2"/>
      <c r="F903" s="2"/>
    </row>
    <row r="904">
      <c r="C904" s="1"/>
      <c r="E904" s="2"/>
      <c r="F904" s="2"/>
    </row>
    <row r="905">
      <c r="C905" s="1"/>
      <c r="E905" s="2"/>
      <c r="F905" s="2"/>
    </row>
    <row r="906">
      <c r="C906" s="1"/>
      <c r="E906" s="2"/>
      <c r="F906" s="2"/>
    </row>
    <row r="907">
      <c r="C907" s="1"/>
      <c r="E907" s="2"/>
      <c r="F907" s="2"/>
    </row>
    <row r="908">
      <c r="C908" s="1"/>
      <c r="E908" s="2"/>
      <c r="F908" s="2"/>
    </row>
    <row r="909">
      <c r="C909" s="1"/>
      <c r="E909" s="2"/>
      <c r="F909" s="2"/>
    </row>
    <row r="910">
      <c r="C910" s="1"/>
      <c r="E910" s="2"/>
      <c r="F910" s="2"/>
    </row>
    <row r="911">
      <c r="C911" s="1"/>
      <c r="E911" s="2"/>
      <c r="F911" s="2"/>
    </row>
    <row r="912">
      <c r="C912" s="1"/>
      <c r="E912" s="2"/>
      <c r="F912" s="2"/>
    </row>
    <row r="913">
      <c r="C913" s="1"/>
      <c r="E913" s="2"/>
      <c r="F913" s="2"/>
    </row>
    <row r="914">
      <c r="C914" s="1"/>
      <c r="E914" s="2"/>
      <c r="F914" s="2"/>
    </row>
    <row r="915">
      <c r="C915" s="1"/>
      <c r="E915" s="2"/>
      <c r="F915" s="2"/>
    </row>
    <row r="916">
      <c r="C916" s="1"/>
      <c r="E916" s="2"/>
      <c r="F916" s="2"/>
    </row>
    <row r="917">
      <c r="C917" s="1"/>
      <c r="E917" s="2"/>
      <c r="F917" s="2"/>
    </row>
    <row r="918">
      <c r="C918" s="1"/>
      <c r="E918" s="2"/>
      <c r="F918" s="2"/>
    </row>
    <row r="919">
      <c r="C919" s="1"/>
      <c r="E919" s="2"/>
      <c r="F919" s="2"/>
    </row>
    <row r="920">
      <c r="C920" s="1"/>
      <c r="E920" s="2"/>
      <c r="F920" s="2"/>
    </row>
    <row r="921">
      <c r="C921" s="1"/>
      <c r="E921" s="2"/>
      <c r="F921" s="2"/>
    </row>
    <row r="922">
      <c r="C922" s="1"/>
      <c r="E922" s="2"/>
      <c r="F922" s="2"/>
    </row>
    <row r="923">
      <c r="C923" s="1"/>
      <c r="E923" s="2"/>
      <c r="F923" s="2"/>
    </row>
    <row r="924">
      <c r="C924" s="1"/>
      <c r="E924" s="2"/>
      <c r="F924" s="2"/>
    </row>
    <row r="925">
      <c r="C925" s="1"/>
      <c r="E925" s="2"/>
      <c r="F925" s="2"/>
    </row>
    <row r="926">
      <c r="C926" s="1"/>
      <c r="E926" s="2"/>
      <c r="F926" s="2"/>
    </row>
    <row r="927">
      <c r="C927" s="1"/>
      <c r="E927" s="2"/>
      <c r="F927" s="2"/>
    </row>
    <row r="928">
      <c r="C928" s="1"/>
      <c r="E928" s="2"/>
      <c r="F928" s="2"/>
    </row>
    <row r="929">
      <c r="C929" s="1"/>
      <c r="E929" s="2"/>
      <c r="F929" s="2"/>
    </row>
    <row r="930">
      <c r="C930" s="1"/>
      <c r="E930" s="2"/>
      <c r="F930" s="2"/>
    </row>
    <row r="931">
      <c r="C931" s="1"/>
      <c r="E931" s="2"/>
      <c r="F931" s="2"/>
    </row>
    <row r="932">
      <c r="C932" s="1"/>
      <c r="E932" s="2"/>
      <c r="F932" s="2"/>
    </row>
    <row r="933">
      <c r="C933" s="1"/>
      <c r="E933" s="2"/>
      <c r="F933" s="2"/>
    </row>
    <row r="934">
      <c r="C934" s="1"/>
      <c r="E934" s="2"/>
      <c r="F934" s="2"/>
    </row>
    <row r="935">
      <c r="C935" s="1"/>
      <c r="E935" s="2"/>
      <c r="F935" s="2"/>
    </row>
    <row r="936">
      <c r="C936" s="1"/>
      <c r="E936" s="2"/>
      <c r="F936" s="2"/>
    </row>
    <row r="937">
      <c r="C937" s="1"/>
      <c r="E937" s="2"/>
      <c r="F937" s="2"/>
    </row>
    <row r="938">
      <c r="C938" s="1"/>
      <c r="E938" s="2"/>
      <c r="F938" s="2"/>
    </row>
    <row r="939">
      <c r="C939" s="1"/>
      <c r="E939" s="2"/>
      <c r="F939" s="2"/>
    </row>
    <row r="940">
      <c r="C940" s="1"/>
      <c r="E940" s="2"/>
      <c r="F940" s="2"/>
    </row>
    <row r="941">
      <c r="C941" s="1"/>
      <c r="E941" s="2"/>
      <c r="F941" s="2"/>
    </row>
    <row r="942">
      <c r="C942" s="1"/>
      <c r="E942" s="2"/>
      <c r="F942" s="2"/>
    </row>
    <row r="943">
      <c r="C943" s="1"/>
      <c r="E943" s="2"/>
      <c r="F943" s="2"/>
    </row>
    <row r="944">
      <c r="C944" s="1"/>
      <c r="E944" s="2"/>
      <c r="F944" s="2"/>
    </row>
    <row r="945">
      <c r="C945" s="1"/>
      <c r="E945" s="2"/>
      <c r="F945" s="2"/>
    </row>
    <row r="946">
      <c r="C946" s="1"/>
      <c r="E946" s="2"/>
      <c r="F946" s="2"/>
    </row>
    <row r="947">
      <c r="C947" s="1"/>
      <c r="E947" s="2"/>
      <c r="F947" s="2"/>
    </row>
    <row r="948">
      <c r="C948" s="1"/>
      <c r="E948" s="2"/>
      <c r="F948" s="2"/>
    </row>
    <row r="949">
      <c r="C949" s="1"/>
      <c r="E949" s="2"/>
      <c r="F949" s="2"/>
    </row>
    <row r="950">
      <c r="C950" s="1"/>
      <c r="E950" s="2"/>
      <c r="F950" s="2"/>
    </row>
    <row r="951">
      <c r="C951" s="1"/>
      <c r="E951" s="2"/>
      <c r="F951" s="2"/>
    </row>
    <row r="952">
      <c r="C952" s="1"/>
      <c r="E952" s="2"/>
      <c r="F952" s="2"/>
    </row>
    <row r="953">
      <c r="C953" s="1"/>
      <c r="E953" s="2"/>
      <c r="F953" s="2"/>
    </row>
    <row r="954">
      <c r="C954" s="1"/>
      <c r="E954" s="2"/>
      <c r="F954" s="2"/>
    </row>
    <row r="955">
      <c r="C955" s="1"/>
      <c r="E955" s="2"/>
      <c r="F955" s="2"/>
    </row>
    <row r="956">
      <c r="C956" s="1"/>
      <c r="E956" s="2"/>
      <c r="F956" s="2"/>
    </row>
    <row r="957">
      <c r="C957" s="1"/>
      <c r="E957" s="2"/>
      <c r="F957" s="2"/>
    </row>
    <row r="958">
      <c r="C958" s="1"/>
      <c r="E958" s="2"/>
      <c r="F958" s="2"/>
    </row>
    <row r="959">
      <c r="C959" s="1"/>
      <c r="E959" s="2"/>
      <c r="F959" s="2"/>
    </row>
    <row r="960">
      <c r="C960" s="1"/>
      <c r="E960" s="2"/>
      <c r="F960" s="2"/>
    </row>
    <row r="961">
      <c r="C961" s="1"/>
      <c r="E961" s="2"/>
      <c r="F961" s="2"/>
    </row>
    <row r="962">
      <c r="C962" s="1"/>
      <c r="E962" s="2"/>
      <c r="F962" s="2"/>
    </row>
    <row r="963">
      <c r="C963" s="1"/>
      <c r="E963" s="2"/>
      <c r="F963" s="2"/>
    </row>
    <row r="964">
      <c r="C964" s="1"/>
      <c r="E964" s="2"/>
      <c r="F964" s="2"/>
    </row>
    <row r="965">
      <c r="C965" s="1"/>
      <c r="E965" s="2"/>
      <c r="F965" s="2"/>
    </row>
    <row r="966">
      <c r="C966" s="1"/>
      <c r="E966" s="2"/>
      <c r="F966" s="2"/>
    </row>
    <row r="967">
      <c r="C967" s="1"/>
      <c r="E967" s="2"/>
      <c r="F967" s="2"/>
    </row>
    <row r="968">
      <c r="C968" s="1"/>
      <c r="E968" s="2"/>
      <c r="F968" s="2"/>
    </row>
    <row r="969">
      <c r="C969" s="1"/>
      <c r="E969" s="2"/>
      <c r="F969" s="2"/>
    </row>
    <row r="970">
      <c r="C970" s="1"/>
      <c r="E970" s="2"/>
      <c r="F970" s="2"/>
    </row>
    <row r="971">
      <c r="C971" s="1"/>
      <c r="E971" s="2"/>
      <c r="F971" s="2"/>
    </row>
    <row r="972">
      <c r="C972" s="1"/>
      <c r="E972" s="2"/>
      <c r="F972" s="2"/>
    </row>
    <row r="973">
      <c r="C973" s="1"/>
      <c r="E973" s="2"/>
      <c r="F973" s="2"/>
    </row>
    <row r="974">
      <c r="C974" s="1"/>
      <c r="E974" s="2"/>
      <c r="F974" s="2"/>
    </row>
    <row r="975">
      <c r="C975" s="1"/>
      <c r="E975" s="2"/>
      <c r="F975" s="2"/>
    </row>
    <row r="976">
      <c r="C976" s="1"/>
      <c r="E976" s="2"/>
      <c r="F976" s="2"/>
    </row>
    <row r="977">
      <c r="C977" s="1"/>
      <c r="E977" s="2"/>
      <c r="F977" s="2"/>
    </row>
    <row r="978">
      <c r="C978" s="1"/>
      <c r="E978" s="2"/>
      <c r="F978" s="2"/>
    </row>
    <row r="979">
      <c r="C979" s="1"/>
      <c r="E979" s="2"/>
      <c r="F979" s="2"/>
    </row>
    <row r="980">
      <c r="C980" s="1"/>
      <c r="E980" s="2"/>
      <c r="F980" s="2"/>
    </row>
    <row r="981">
      <c r="C981" s="1"/>
      <c r="E981" s="2"/>
      <c r="F981" s="2"/>
    </row>
    <row r="982">
      <c r="C982" s="1"/>
      <c r="E982" s="2"/>
      <c r="F982" s="2"/>
    </row>
    <row r="983">
      <c r="C983" s="1"/>
      <c r="E983" s="2"/>
      <c r="F983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G3" s="23"/>
      <c r="H3" s="23"/>
    </row>
    <row r="6">
      <c r="A6" s="3" t="s">
        <v>49</v>
      </c>
    </row>
    <row r="9">
      <c r="A9" s="95" t="s">
        <v>1</v>
      </c>
      <c r="B9" s="96"/>
      <c r="C9" s="96"/>
      <c r="D9" s="96"/>
      <c r="E9" s="96"/>
      <c r="F9" s="97"/>
      <c r="G9" s="96"/>
      <c r="H9" s="98"/>
      <c r="I9" s="97"/>
      <c r="J9" s="97"/>
      <c r="K9" s="97"/>
    </row>
    <row r="10">
      <c r="A10" s="12" t="s">
        <v>3</v>
      </c>
      <c r="B10" s="12" t="s">
        <v>4</v>
      </c>
      <c r="C10" s="12" t="s">
        <v>5</v>
      </c>
      <c r="D10" s="12" t="s">
        <v>6</v>
      </c>
      <c r="E10" s="12" t="s">
        <v>7</v>
      </c>
      <c r="F10" s="11" t="s">
        <v>8</v>
      </c>
      <c r="G10" s="12" t="s">
        <v>9</v>
      </c>
      <c r="H10" s="13" t="s">
        <v>10</v>
      </c>
      <c r="I10" s="11" t="s">
        <v>11</v>
      </c>
      <c r="J10" s="11" t="s">
        <v>12</v>
      </c>
      <c r="K10" s="11" t="s">
        <v>13</v>
      </c>
    </row>
    <row r="11">
      <c r="A11" s="99" t="s">
        <v>16</v>
      </c>
      <c r="B11" s="25">
        <v>546332.0</v>
      </c>
      <c r="C11" s="25">
        <v>128051.0</v>
      </c>
      <c r="D11" s="26">
        <f t="shared" ref="D11:D23" si="1">C11/B11</f>
        <v>0.2343831224</v>
      </c>
      <c r="E11" s="27">
        <f t="shared" ref="E11:E23" si="2">F11/C11</f>
        <v>0.1422140397</v>
      </c>
      <c r="F11" s="27">
        <v>18210.65</v>
      </c>
      <c r="G11" s="100">
        <v>7235.0</v>
      </c>
      <c r="H11" s="26">
        <f t="shared" ref="H11:H23" si="3">G11/C11</f>
        <v>0.05650092541</v>
      </c>
      <c r="I11" s="27">
        <f t="shared" ref="I11:I23" si="4">F11/G11</f>
        <v>2.517021424</v>
      </c>
      <c r="J11" s="27">
        <f t="shared" ref="J11:J23" si="5">J28+J45+J62</f>
        <v>631460.67</v>
      </c>
      <c r="K11" s="27">
        <f t="shared" ref="K11:K23" si="6">J11/G11</f>
        <v>87.27859986</v>
      </c>
    </row>
    <row r="12">
      <c r="A12" s="99" t="s">
        <v>17</v>
      </c>
      <c r="B12" s="25">
        <v>406413.0</v>
      </c>
      <c r="C12" s="25">
        <v>127451.0</v>
      </c>
      <c r="D12" s="26">
        <f t="shared" si="1"/>
        <v>0.3135997126</v>
      </c>
      <c r="E12" s="27">
        <f t="shared" si="2"/>
        <v>0.1204452692</v>
      </c>
      <c r="F12" s="27">
        <v>15350.87</v>
      </c>
      <c r="G12" s="100">
        <v>7785.0</v>
      </c>
      <c r="H12" s="26">
        <f t="shared" si="3"/>
        <v>0.0610822983</v>
      </c>
      <c r="I12" s="27">
        <f t="shared" si="4"/>
        <v>1.97185228</v>
      </c>
      <c r="J12" s="27">
        <f t="shared" si="5"/>
        <v>692736.02</v>
      </c>
      <c r="K12" s="27">
        <f t="shared" si="6"/>
        <v>88.98343224</v>
      </c>
    </row>
    <row r="13">
      <c r="A13" s="99" t="s">
        <v>18</v>
      </c>
      <c r="B13" s="25">
        <v>502487.0</v>
      </c>
      <c r="C13" s="25">
        <v>144239.0</v>
      </c>
      <c r="D13" s="26">
        <f t="shared" si="1"/>
        <v>0.2870502122</v>
      </c>
      <c r="E13" s="27">
        <f t="shared" si="2"/>
        <v>0.1160401833</v>
      </c>
      <c r="F13" s="27">
        <v>16737.52</v>
      </c>
      <c r="G13" s="100">
        <v>8374.0</v>
      </c>
      <c r="H13" s="26">
        <f t="shared" si="3"/>
        <v>0.05805642025</v>
      </c>
      <c r="I13" s="27">
        <f t="shared" si="4"/>
        <v>1.998748507</v>
      </c>
      <c r="J13" s="27">
        <f t="shared" si="5"/>
        <v>751910.44</v>
      </c>
      <c r="K13" s="27">
        <f t="shared" si="6"/>
        <v>89.79107237</v>
      </c>
    </row>
    <row r="14">
      <c r="A14" s="99" t="s">
        <v>19</v>
      </c>
      <c r="B14" s="25">
        <v>413945.0</v>
      </c>
      <c r="C14" s="25">
        <v>143067.0</v>
      </c>
      <c r="D14" s="26">
        <f t="shared" si="1"/>
        <v>0.3456183793</v>
      </c>
      <c r="E14" s="27">
        <f t="shared" si="2"/>
        <v>0.1514260451</v>
      </c>
      <c r="F14" s="27">
        <v>21664.07</v>
      </c>
      <c r="G14" s="100">
        <v>4766.0</v>
      </c>
      <c r="H14" s="26">
        <f t="shared" si="3"/>
        <v>0.03331306311</v>
      </c>
      <c r="I14" s="27">
        <f t="shared" si="4"/>
        <v>4.545545531</v>
      </c>
      <c r="J14" s="27">
        <f t="shared" si="5"/>
        <v>429742.4</v>
      </c>
      <c r="K14" s="27">
        <f t="shared" si="6"/>
        <v>90.16835921</v>
      </c>
    </row>
    <row r="15">
      <c r="A15" s="99" t="s">
        <v>20</v>
      </c>
      <c r="B15" s="25">
        <v>392558.0</v>
      </c>
      <c r="C15" s="25">
        <v>153735.0</v>
      </c>
      <c r="D15" s="26">
        <f t="shared" si="1"/>
        <v>0.3916236582</v>
      </c>
      <c r="E15" s="27">
        <f t="shared" si="2"/>
        <v>0.128437311</v>
      </c>
      <c r="F15" s="27">
        <v>19745.31</v>
      </c>
      <c r="G15" s="100">
        <v>12913.0</v>
      </c>
      <c r="H15" s="26">
        <f t="shared" si="3"/>
        <v>0.08399518652</v>
      </c>
      <c r="I15" s="27">
        <f t="shared" si="4"/>
        <v>1.529103229</v>
      </c>
      <c r="J15" s="27">
        <f t="shared" si="5"/>
        <v>1197187.12</v>
      </c>
      <c r="K15" s="27">
        <f t="shared" si="6"/>
        <v>92.71177263</v>
      </c>
    </row>
    <row r="16">
      <c r="A16" s="99" t="s">
        <v>21</v>
      </c>
      <c r="B16" s="25">
        <v>223534.0</v>
      </c>
      <c r="C16" s="25">
        <v>94541.0</v>
      </c>
      <c r="D16" s="26">
        <f t="shared" si="1"/>
        <v>0.4229378976</v>
      </c>
      <c r="E16" s="27">
        <f t="shared" si="2"/>
        <v>0.09747442908</v>
      </c>
      <c r="F16" s="27">
        <v>9215.33</v>
      </c>
      <c r="G16" s="100">
        <v>8992.0</v>
      </c>
      <c r="H16" s="26">
        <f t="shared" si="3"/>
        <v>0.09511217355</v>
      </c>
      <c r="I16" s="27">
        <f t="shared" si="4"/>
        <v>1.024836521</v>
      </c>
      <c r="J16" s="27">
        <f t="shared" si="5"/>
        <v>861685.05</v>
      </c>
      <c r="K16" s="27">
        <f t="shared" si="6"/>
        <v>95.82796375</v>
      </c>
    </row>
    <row r="17">
      <c r="A17" s="99" t="s">
        <v>22</v>
      </c>
      <c r="B17" s="25">
        <v>157099.0</v>
      </c>
      <c r="C17" s="25">
        <v>68780.0</v>
      </c>
      <c r="D17" s="26">
        <f t="shared" si="1"/>
        <v>0.4378130987</v>
      </c>
      <c r="E17" s="27">
        <f t="shared" si="2"/>
        <v>0.1090151207</v>
      </c>
      <c r="F17" s="27">
        <v>7498.06</v>
      </c>
      <c r="G17" s="100">
        <v>7520.0</v>
      </c>
      <c r="H17" s="26">
        <f t="shared" si="3"/>
        <v>0.1093341088</v>
      </c>
      <c r="I17" s="27">
        <f t="shared" si="4"/>
        <v>0.9970824468</v>
      </c>
      <c r="J17" s="27">
        <f t="shared" si="5"/>
        <v>760903.23</v>
      </c>
      <c r="K17" s="27">
        <f t="shared" si="6"/>
        <v>101.1839402</v>
      </c>
    </row>
    <row r="18">
      <c r="A18" s="99" t="s">
        <v>23</v>
      </c>
      <c r="B18" s="25">
        <v>116338.0</v>
      </c>
      <c r="C18" s="25">
        <v>54558.0</v>
      </c>
      <c r="D18" s="26">
        <f t="shared" si="1"/>
        <v>0.4689611305</v>
      </c>
      <c r="E18" s="27">
        <f t="shared" si="2"/>
        <v>0.09888100737</v>
      </c>
      <c r="F18" s="27">
        <v>5394.75</v>
      </c>
      <c r="G18" s="100">
        <v>6858.0</v>
      </c>
      <c r="H18" s="26">
        <f t="shared" si="3"/>
        <v>0.1257010887</v>
      </c>
      <c r="I18" s="27">
        <f t="shared" si="4"/>
        <v>0.7866360455</v>
      </c>
      <c r="J18" s="27">
        <f t="shared" si="5"/>
        <v>668887.21</v>
      </c>
      <c r="K18" s="27">
        <f t="shared" si="6"/>
        <v>97.53385973</v>
      </c>
    </row>
    <row r="19">
      <c r="A19" s="99" t="s">
        <v>24</v>
      </c>
      <c r="B19" s="25">
        <v>115807.0</v>
      </c>
      <c r="C19" s="25">
        <v>55718.0</v>
      </c>
      <c r="D19" s="26">
        <f t="shared" si="1"/>
        <v>0.4811280838</v>
      </c>
      <c r="E19" s="27">
        <f t="shared" si="2"/>
        <v>0.09714813884</v>
      </c>
      <c r="F19" s="27">
        <v>5412.9</v>
      </c>
      <c r="G19" s="100">
        <v>5753.0</v>
      </c>
      <c r="H19" s="26">
        <f t="shared" si="3"/>
        <v>0.1032520909</v>
      </c>
      <c r="I19" s="27">
        <f t="shared" si="4"/>
        <v>0.9408830176</v>
      </c>
      <c r="J19" s="27">
        <f t="shared" si="5"/>
        <v>499718.81</v>
      </c>
      <c r="K19" s="27">
        <f t="shared" si="6"/>
        <v>86.86229967</v>
      </c>
    </row>
    <row r="20">
      <c r="A20" s="99" t="s">
        <v>25</v>
      </c>
      <c r="B20" s="25">
        <v>206163.0</v>
      </c>
      <c r="C20" s="25">
        <v>77911.0</v>
      </c>
      <c r="D20" s="26">
        <f t="shared" si="1"/>
        <v>0.3779097122</v>
      </c>
      <c r="E20" s="27">
        <f t="shared" si="2"/>
        <v>0.1538597887</v>
      </c>
      <c r="F20" s="27">
        <v>11987.37</v>
      </c>
      <c r="G20" s="100">
        <v>4796.0</v>
      </c>
      <c r="H20" s="26">
        <f t="shared" si="3"/>
        <v>0.06155741808</v>
      </c>
      <c r="I20" s="27">
        <f t="shared" si="4"/>
        <v>2.499451626</v>
      </c>
      <c r="J20" s="27">
        <f t="shared" si="5"/>
        <v>415678.92</v>
      </c>
      <c r="K20" s="27">
        <f t="shared" si="6"/>
        <v>86.67200167</v>
      </c>
    </row>
    <row r="21">
      <c r="A21" s="99" t="s">
        <v>26</v>
      </c>
      <c r="B21" s="25">
        <v>283689.0</v>
      </c>
      <c r="C21" s="25">
        <v>83390.0</v>
      </c>
      <c r="D21" s="26">
        <f t="shared" si="1"/>
        <v>0.293948655</v>
      </c>
      <c r="E21" s="27">
        <f t="shared" si="2"/>
        <v>0.2007141144</v>
      </c>
      <c r="F21" s="27">
        <v>16737.55</v>
      </c>
      <c r="G21" s="100">
        <v>5156.0</v>
      </c>
      <c r="H21" s="26">
        <f t="shared" si="3"/>
        <v>0.06182995563</v>
      </c>
      <c r="I21" s="27">
        <f t="shared" si="4"/>
        <v>3.246227696</v>
      </c>
      <c r="J21" s="27">
        <f t="shared" si="5"/>
        <v>441646.2</v>
      </c>
      <c r="K21" s="27">
        <f t="shared" si="6"/>
        <v>85.65674942</v>
      </c>
    </row>
    <row r="22">
      <c r="A22" s="99" t="s">
        <v>27</v>
      </c>
      <c r="B22" s="25">
        <v>1090919.0</v>
      </c>
      <c r="C22" s="25">
        <v>136162.0</v>
      </c>
      <c r="D22" s="26">
        <f t="shared" si="1"/>
        <v>0.1248140329</v>
      </c>
      <c r="E22" s="27">
        <f t="shared" si="2"/>
        <v>0.1852455898</v>
      </c>
      <c r="F22" s="27">
        <v>25223.41</v>
      </c>
      <c r="G22" s="100">
        <v>7203.0</v>
      </c>
      <c r="H22" s="26">
        <f t="shared" si="3"/>
        <v>0.05290022179</v>
      </c>
      <c r="I22" s="27">
        <f t="shared" si="4"/>
        <v>3.501792309</v>
      </c>
      <c r="J22" s="27">
        <f t="shared" si="5"/>
        <v>633784.59</v>
      </c>
      <c r="K22" s="27">
        <f t="shared" si="6"/>
        <v>87.98897543</v>
      </c>
    </row>
    <row r="23">
      <c r="A23" s="12" t="s">
        <v>28</v>
      </c>
      <c r="B23" s="38">
        <f t="shared" ref="B23:C23" si="7">SUM(B10:B22)</f>
        <v>4455284</v>
      </c>
      <c r="C23" s="38">
        <f t="shared" si="7"/>
        <v>1267603</v>
      </c>
      <c r="D23" s="39">
        <f t="shared" si="1"/>
        <v>0.2845167671</v>
      </c>
      <c r="E23" s="37">
        <f t="shared" si="2"/>
        <v>0.1366183182</v>
      </c>
      <c r="F23" s="37">
        <f>SUM(F10:F22)</f>
        <v>173177.79</v>
      </c>
      <c r="G23" s="101">
        <f>sum(G11:G22)</f>
        <v>87351</v>
      </c>
      <c r="H23" s="39">
        <f t="shared" si="3"/>
        <v>0.06891037651</v>
      </c>
      <c r="I23" s="37">
        <f t="shared" si="4"/>
        <v>1.982550744</v>
      </c>
      <c r="J23" s="37">
        <f t="shared" si="5"/>
        <v>7985340.66</v>
      </c>
      <c r="K23" s="37">
        <f t="shared" si="6"/>
        <v>91.4167057</v>
      </c>
      <c r="L23" s="5"/>
      <c r="M23" s="5"/>
      <c r="N23" s="5"/>
      <c r="O23" s="5"/>
    </row>
    <row r="24">
      <c r="A24" s="96"/>
      <c r="B24" s="96"/>
      <c r="C24" s="96"/>
      <c r="D24" s="96"/>
      <c r="E24" s="96"/>
      <c r="F24" s="97"/>
      <c r="G24" s="96"/>
      <c r="H24" s="98"/>
      <c r="I24" s="97"/>
      <c r="J24" s="97"/>
      <c r="K24" s="97"/>
    </row>
    <row r="25">
      <c r="A25" s="96"/>
      <c r="B25" s="96"/>
      <c r="C25" s="96"/>
      <c r="D25" s="96"/>
      <c r="E25" s="96"/>
      <c r="F25" s="97"/>
      <c r="G25" s="96"/>
      <c r="H25" s="98"/>
      <c r="I25" s="97"/>
      <c r="J25" s="97"/>
      <c r="K25" s="97"/>
    </row>
    <row r="26">
      <c r="A26" s="102" t="s">
        <v>50</v>
      </c>
      <c r="B26" s="103"/>
      <c r="C26" s="103"/>
      <c r="D26" s="104"/>
      <c r="E26" s="105"/>
      <c r="F26" s="105"/>
      <c r="G26" s="104"/>
      <c r="H26" s="103"/>
      <c r="I26" s="105"/>
      <c r="J26" s="105"/>
      <c r="K26" s="97"/>
    </row>
    <row r="27">
      <c r="A27" s="12" t="s">
        <v>3</v>
      </c>
      <c r="B27" s="12" t="s">
        <v>4</v>
      </c>
      <c r="C27" s="12" t="s">
        <v>5</v>
      </c>
      <c r="D27" s="12" t="s">
        <v>6</v>
      </c>
      <c r="E27" s="12" t="s">
        <v>7</v>
      </c>
      <c r="F27" s="12" t="s">
        <v>8</v>
      </c>
      <c r="G27" s="12" t="s">
        <v>9</v>
      </c>
      <c r="H27" s="12" t="s">
        <v>10</v>
      </c>
      <c r="I27" s="12" t="s">
        <v>11</v>
      </c>
      <c r="J27" s="11" t="s">
        <v>12</v>
      </c>
      <c r="K27" s="11" t="s">
        <v>13</v>
      </c>
    </row>
    <row r="28">
      <c r="A28" s="99" t="s">
        <v>16</v>
      </c>
      <c r="B28" s="25">
        <v>94918.0</v>
      </c>
      <c r="C28" s="25">
        <v>52957.0</v>
      </c>
      <c r="D28" s="26">
        <f t="shared" ref="D28:D40" si="8">C28/B28</f>
        <v>0.5579236815</v>
      </c>
      <c r="E28" s="27">
        <f t="shared" ref="E28:E40" si="9">F28/C28</f>
        <v>0.06317068565</v>
      </c>
      <c r="F28" s="27">
        <v>3345.33</v>
      </c>
      <c r="G28" s="100">
        <v>4924.0</v>
      </c>
      <c r="H28" s="26">
        <f t="shared" ref="H28:H40" si="10">G28/C28</f>
        <v>0.09298109787</v>
      </c>
      <c r="I28" s="27">
        <f t="shared" ref="I28:I40" si="11">F28/G28</f>
        <v>0.6793927701</v>
      </c>
      <c r="J28" s="27">
        <v>404167.24</v>
      </c>
      <c r="K28" s="27">
        <f t="shared" ref="K28:K40" si="12">J28/G28</f>
        <v>82.08108042</v>
      </c>
    </row>
    <row r="29">
      <c r="A29" s="99" t="s">
        <v>17</v>
      </c>
      <c r="B29" s="25">
        <v>94034.0</v>
      </c>
      <c r="C29" s="25">
        <v>54165.0</v>
      </c>
      <c r="D29" s="26">
        <f t="shared" si="8"/>
        <v>0.5760150584</v>
      </c>
      <c r="E29" s="27">
        <f t="shared" si="9"/>
        <v>0.06335419551</v>
      </c>
      <c r="F29" s="27">
        <v>3431.58</v>
      </c>
      <c r="G29" s="100">
        <v>5292.0</v>
      </c>
      <c r="H29" s="26">
        <f t="shared" si="10"/>
        <v>0.09770146774</v>
      </c>
      <c r="I29" s="27">
        <f t="shared" si="11"/>
        <v>0.648446712</v>
      </c>
      <c r="J29" s="27">
        <v>442875.77</v>
      </c>
      <c r="K29" s="27">
        <f t="shared" si="12"/>
        <v>83.68778723</v>
      </c>
    </row>
    <row r="30">
      <c r="A30" s="99" t="s">
        <v>18</v>
      </c>
      <c r="B30" s="25">
        <v>115150.0</v>
      </c>
      <c r="C30" s="25">
        <v>65101.0</v>
      </c>
      <c r="D30" s="26">
        <f t="shared" si="8"/>
        <v>0.5653582284</v>
      </c>
      <c r="E30" s="27">
        <f t="shared" si="9"/>
        <v>0.07523939724</v>
      </c>
      <c r="F30" s="27">
        <v>4898.16</v>
      </c>
      <c r="G30" s="100">
        <v>6128.0</v>
      </c>
      <c r="H30" s="26">
        <f t="shared" si="10"/>
        <v>0.09413065852</v>
      </c>
      <c r="I30" s="27">
        <f t="shared" si="11"/>
        <v>0.799308094</v>
      </c>
      <c r="J30" s="27">
        <v>530912.76</v>
      </c>
      <c r="K30" s="27">
        <f t="shared" si="12"/>
        <v>86.63719974</v>
      </c>
    </row>
    <row r="31">
      <c r="A31" s="99" t="s">
        <v>19</v>
      </c>
      <c r="B31" s="25">
        <v>107929.0</v>
      </c>
      <c r="C31" s="25">
        <v>61109.0</v>
      </c>
      <c r="D31" s="26">
        <f t="shared" si="8"/>
        <v>0.5661962957</v>
      </c>
      <c r="E31" s="27">
        <f t="shared" si="9"/>
        <v>0.1087720303</v>
      </c>
      <c r="F31" s="27">
        <v>6646.95</v>
      </c>
      <c r="G31" s="100">
        <v>3529.0</v>
      </c>
      <c r="H31" s="26">
        <f t="shared" si="10"/>
        <v>0.0577492677</v>
      </c>
      <c r="I31" s="27">
        <f t="shared" si="11"/>
        <v>1.883522244</v>
      </c>
      <c r="J31" s="27">
        <v>304284.3</v>
      </c>
      <c r="K31" s="27">
        <f t="shared" si="12"/>
        <v>86.22394446</v>
      </c>
    </row>
    <row r="32">
      <c r="A32" s="99" t="s">
        <v>20</v>
      </c>
      <c r="B32" s="25">
        <v>119638.0</v>
      </c>
      <c r="C32" s="25">
        <v>68897.0</v>
      </c>
      <c r="D32" s="26">
        <f t="shared" si="8"/>
        <v>0.5758789014</v>
      </c>
      <c r="E32" s="27">
        <f t="shared" si="9"/>
        <v>0.1044837946</v>
      </c>
      <c r="F32" s="27">
        <v>7198.62</v>
      </c>
      <c r="G32" s="106">
        <v>7912.0</v>
      </c>
      <c r="H32" s="26">
        <f t="shared" si="10"/>
        <v>0.1148380916</v>
      </c>
      <c r="I32" s="27">
        <f t="shared" si="11"/>
        <v>0.9098356926</v>
      </c>
      <c r="J32" s="27">
        <v>705292.63</v>
      </c>
      <c r="K32" s="27">
        <f t="shared" si="12"/>
        <v>89.14214232</v>
      </c>
    </row>
    <row r="33">
      <c r="A33" s="99" t="s">
        <v>21</v>
      </c>
      <c r="B33" s="25">
        <v>56129.0</v>
      </c>
      <c r="C33" s="25">
        <v>31069.0</v>
      </c>
      <c r="D33" s="26">
        <f t="shared" si="8"/>
        <v>0.553528479</v>
      </c>
      <c r="E33" s="27">
        <f t="shared" si="9"/>
        <v>0.0923454247</v>
      </c>
      <c r="F33" s="27">
        <v>2869.08</v>
      </c>
      <c r="G33" s="100">
        <v>5014.0</v>
      </c>
      <c r="H33" s="26">
        <f t="shared" si="10"/>
        <v>0.1613827288</v>
      </c>
      <c r="I33" s="27">
        <f t="shared" si="11"/>
        <v>0.5722138014</v>
      </c>
      <c r="J33" s="27">
        <v>448768.64</v>
      </c>
      <c r="K33" s="27">
        <f t="shared" si="12"/>
        <v>89.50311927</v>
      </c>
    </row>
    <row r="34">
      <c r="A34" s="99" t="s">
        <v>22</v>
      </c>
      <c r="B34" s="25">
        <v>57547.0</v>
      </c>
      <c r="C34" s="25">
        <v>34381.0</v>
      </c>
      <c r="D34" s="26">
        <f t="shared" si="8"/>
        <v>0.5974420908</v>
      </c>
      <c r="E34" s="27">
        <f t="shared" si="9"/>
        <v>0.07218405515</v>
      </c>
      <c r="F34" s="27">
        <v>2481.76</v>
      </c>
      <c r="G34" s="100">
        <v>6877.0</v>
      </c>
      <c r="H34" s="26">
        <f t="shared" si="10"/>
        <v>0.2000232687</v>
      </c>
      <c r="I34" s="27">
        <f t="shared" si="11"/>
        <v>0.36087829</v>
      </c>
      <c r="J34" s="27">
        <v>499187.77</v>
      </c>
      <c r="K34" s="27">
        <f t="shared" si="12"/>
        <v>72.58801367</v>
      </c>
    </row>
    <row r="35">
      <c r="A35" s="99" t="s">
        <v>23</v>
      </c>
      <c r="B35" s="25">
        <v>49385.0</v>
      </c>
      <c r="C35" s="25">
        <v>29850.0</v>
      </c>
      <c r="D35" s="26">
        <f t="shared" si="8"/>
        <v>0.6044345449</v>
      </c>
      <c r="E35" s="27">
        <f t="shared" si="9"/>
        <v>0.06567403685</v>
      </c>
      <c r="F35" s="27">
        <v>1960.37</v>
      </c>
      <c r="G35" s="100">
        <v>5870.0</v>
      </c>
      <c r="H35" s="26">
        <f t="shared" si="10"/>
        <v>0.1966499162</v>
      </c>
      <c r="I35" s="27">
        <f t="shared" si="11"/>
        <v>0.3339642249</v>
      </c>
      <c r="J35" s="27">
        <v>466359.4</v>
      </c>
      <c r="K35" s="27">
        <f t="shared" si="12"/>
        <v>79.44793867</v>
      </c>
    </row>
    <row r="36">
      <c r="A36" s="99" t="s">
        <v>24</v>
      </c>
      <c r="B36" s="25">
        <v>61570.0</v>
      </c>
      <c r="C36" s="25">
        <v>36479.0</v>
      </c>
      <c r="D36" s="26">
        <f t="shared" si="8"/>
        <v>0.5924801039</v>
      </c>
      <c r="E36" s="27">
        <f t="shared" si="9"/>
        <v>0.07110090737</v>
      </c>
      <c r="F36" s="27">
        <v>2593.69</v>
      </c>
      <c r="G36" s="100">
        <v>4988.0</v>
      </c>
      <c r="H36" s="26">
        <f t="shared" si="10"/>
        <v>0.1367362044</v>
      </c>
      <c r="I36" s="27">
        <f t="shared" si="11"/>
        <v>0.5199859663</v>
      </c>
      <c r="J36" s="27">
        <v>371315.33</v>
      </c>
      <c r="K36" s="27">
        <f t="shared" si="12"/>
        <v>74.44172614</v>
      </c>
    </row>
    <row r="37">
      <c r="A37" s="99" t="s">
        <v>25</v>
      </c>
      <c r="B37" s="25">
        <v>67570.0</v>
      </c>
      <c r="C37" s="25">
        <v>34079.0</v>
      </c>
      <c r="D37" s="26">
        <f t="shared" si="8"/>
        <v>0.5043510434</v>
      </c>
      <c r="E37" s="27">
        <f t="shared" si="9"/>
        <v>0.07445024795</v>
      </c>
      <c r="F37" s="27">
        <v>2537.19</v>
      </c>
      <c r="G37" s="100">
        <v>3476.0</v>
      </c>
      <c r="H37" s="26">
        <f t="shared" si="10"/>
        <v>0.1019982981</v>
      </c>
      <c r="I37" s="27">
        <f t="shared" si="11"/>
        <v>0.7299165708</v>
      </c>
      <c r="J37" s="27">
        <v>266397.94</v>
      </c>
      <c r="K37" s="27">
        <f t="shared" si="12"/>
        <v>76.63922325</v>
      </c>
    </row>
    <row r="38">
      <c r="A38" s="99" t="s">
        <v>26</v>
      </c>
      <c r="B38" s="25">
        <v>71813.0</v>
      </c>
      <c r="C38" s="25">
        <v>37977.0</v>
      </c>
      <c r="D38" s="26">
        <f t="shared" si="8"/>
        <v>0.5288318271</v>
      </c>
      <c r="E38" s="27">
        <f t="shared" si="9"/>
        <v>0.06983016036</v>
      </c>
      <c r="F38" s="27">
        <v>2651.94</v>
      </c>
      <c r="G38" s="100">
        <v>3815.0</v>
      </c>
      <c r="H38" s="26">
        <f t="shared" si="10"/>
        <v>0.1004555389</v>
      </c>
      <c r="I38" s="27">
        <f t="shared" si="11"/>
        <v>0.6951349934</v>
      </c>
      <c r="J38" s="27">
        <v>301145.24</v>
      </c>
      <c r="K38" s="27">
        <f t="shared" si="12"/>
        <v>78.93715334</v>
      </c>
    </row>
    <row r="39">
      <c r="A39" s="99" t="s">
        <v>27</v>
      </c>
      <c r="B39" s="25">
        <v>86988.0</v>
      </c>
      <c r="C39" s="25">
        <v>47952.0</v>
      </c>
      <c r="D39" s="26">
        <f t="shared" si="8"/>
        <v>0.5512484481</v>
      </c>
      <c r="E39" s="27">
        <f t="shared" si="9"/>
        <v>0.06605125959</v>
      </c>
      <c r="F39" s="27">
        <v>3167.29</v>
      </c>
      <c r="G39" s="100">
        <v>5152.0</v>
      </c>
      <c r="H39" s="26">
        <f t="shared" si="10"/>
        <v>0.1074407741</v>
      </c>
      <c r="I39" s="27">
        <f t="shared" si="11"/>
        <v>0.6147690217</v>
      </c>
      <c r="J39" s="27">
        <v>419915.03</v>
      </c>
      <c r="K39" s="27">
        <f t="shared" si="12"/>
        <v>81.50524651</v>
      </c>
    </row>
    <row r="40">
      <c r="A40" s="12" t="s">
        <v>28</v>
      </c>
      <c r="B40" s="38">
        <f t="shared" ref="B40:C40" si="13">SUM(B28:B39)</f>
        <v>982671</v>
      </c>
      <c r="C40" s="38">
        <f t="shared" si="13"/>
        <v>554016</v>
      </c>
      <c r="D40" s="39">
        <f t="shared" si="8"/>
        <v>0.5637858449</v>
      </c>
      <c r="E40" s="37">
        <f t="shared" si="9"/>
        <v>0.07902652631</v>
      </c>
      <c r="F40" s="37">
        <f t="shared" ref="F40:G40" si="14">SUM(F27:F39)</f>
        <v>43781.96</v>
      </c>
      <c r="G40" s="38">
        <f t="shared" si="14"/>
        <v>62977</v>
      </c>
      <c r="H40" s="39">
        <f t="shared" si="10"/>
        <v>0.1136736123</v>
      </c>
      <c r="I40" s="37">
        <f t="shared" si="11"/>
        <v>0.6952055512</v>
      </c>
      <c r="J40" s="37">
        <f>SUM(J27:J39)</f>
        <v>5160622.05</v>
      </c>
      <c r="K40" s="37">
        <f t="shared" si="12"/>
        <v>81.94455198</v>
      </c>
    </row>
    <row r="41">
      <c r="A41" s="96"/>
      <c r="B41" s="96"/>
      <c r="C41" s="96"/>
      <c r="D41" s="96"/>
      <c r="E41" s="96"/>
      <c r="F41" s="97"/>
      <c r="G41" s="96"/>
      <c r="H41" s="98"/>
      <c r="I41" s="97"/>
      <c r="J41" s="97"/>
      <c r="K41" s="97"/>
    </row>
    <row r="42">
      <c r="A42" s="96"/>
      <c r="B42" s="96"/>
      <c r="C42" s="96"/>
      <c r="D42" s="96"/>
      <c r="E42" s="96"/>
      <c r="F42" s="97"/>
      <c r="G42" s="96"/>
      <c r="H42" s="98"/>
      <c r="I42" s="97"/>
      <c r="J42" s="97"/>
      <c r="K42" s="97"/>
    </row>
    <row r="43">
      <c r="A43" s="102" t="s">
        <v>51</v>
      </c>
      <c r="B43" s="103"/>
      <c r="C43" s="103"/>
      <c r="D43" s="104"/>
      <c r="E43" s="105"/>
      <c r="F43" s="105"/>
      <c r="G43" s="104"/>
      <c r="H43" s="103"/>
      <c r="I43" s="105"/>
      <c r="J43" s="105"/>
      <c r="K43" s="97"/>
    </row>
    <row r="44">
      <c r="A44" s="12" t="s">
        <v>3</v>
      </c>
      <c r="B44" s="12" t="s">
        <v>4</v>
      </c>
      <c r="C44" s="12" t="s">
        <v>5</v>
      </c>
      <c r="D44" s="12" t="s">
        <v>6</v>
      </c>
      <c r="E44" s="12" t="s">
        <v>7</v>
      </c>
      <c r="F44" s="12" t="s">
        <v>8</v>
      </c>
      <c r="G44" s="12" t="s">
        <v>9</v>
      </c>
      <c r="H44" s="12" t="s">
        <v>10</v>
      </c>
      <c r="I44" s="12" t="s">
        <v>11</v>
      </c>
      <c r="J44" s="11" t="s">
        <v>12</v>
      </c>
      <c r="K44" s="11" t="s">
        <v>13</v>
      </c>
    </row>
    <row r="45">
      <c r="A45" s="99" t="s">
        <v>16</v>
      </c>
      <c r="B45" s="25">
        <v>186694.0</v>
      </c>
      <c r="C45" s="25">
        <v>67519.0</v>
      </c>
      <c r="D45" s="26">
        <v>0.3617</v>
      </c>
      <c r="E45" s="27">
        <v>0.19</v>
      </c>
      <c r="F45" s="27">
        <v>12716.65</v>
      </c>
      <c r="G45" s="25">
        <v>1765.0</v>
      </c>
      <c r="H45" s="26">
        <f t="shared" ref="H45:H57" si="15">G45/C45</f>
        <v>0.02614079</v>
      </c>
      <c r="I45" s="27">
        <f t="shared" ref="I45:I57" si="16">F45/G45</f>
        <v>7.20490085</v>
      </c>
      <c r="J45" s="27">
        <v>206950.02</v>
      </c>
      <c r="K45" s="27">
        <f t="shared" ref="K45:K57" si="17">J45/G45</f>
        <v>117.252136</v>
      </c>
    </row>
    <row r="46">
      <c r="A46" s="99" t="s">
        <v>17</v>
      </c>
      <c r="B46" s="25">
        <v>186646.0</v>
      </c>
      <c r="C46" s="25">
        <v>67194.0</v>
      </c>
      <c r="D46" s="26">
        <v>0.36</v>
      </c>
      <c r="E46" s="27">
        <v>0.16</v>
      </c>
      <c r="F46" s="27">
        <v>10738.34</v>
      </c>
      <c r="G46" s="25">
        <v>1993.0</v>
      </c>
      <c r="H46" s="26">
        <f t="shared" si="15"/>
        <v>0.02966038634</v>
      </c>
      <c r="I46" s="27">
        <f t="shared" si="16"/>
        <v>5.388028098</v>
      </c>
      <c r="J46" s="27">
        <v>233487.67</v>
      </c>
      <c r="K46" s="27">
        <f t="shared" si="17"/>
        <v>117.1538736</v>
      </c>
    </row>
    <row r="47">
      <c r="A47" s="99" t="s">
        <v>18</v>
      </c>
      <c r="B47" s="25">
        <v>196690.0</v>
      </c>
      <c r="C47" s="25">
        <v>68501.0</v>
      </c>
      <c r="D47" s="26">
        <v>0.3483</v>
      </c>
      <c r="E47" s="27">
        <v>0.15</v>
      </c>
      <c r="F47" s="27">
        <v>10048.76</v>
      </c>
      <c r="G47" s="25">
        <v>1730.0</v>
      </c>
      <c r="H47" s="26">
        <f t="shared" si="15"/>
        <v>0.02525510576</v>
      </c>
      <c r="I47" s="27">
        <f t="shared" si="16"/>
        <v>5.808531792</v>
      </c>
      <c r="J47" s="27">
        <v>185539.66</v>
      </c>
      <c r="K47" s="27">
        <f t="shared" si="17"/>
        <v>107.2483584</v>
      </c>
    </row>
    <row r="48">
      <c r="A48" s="99" t="s">
        <v>19</v>
      </c>
      <c r="B48" s="25">
        <v>207829.0</v>
      </c>
      <c r="C48" s="25">
        <v>69554.0</v>
      </c>
      <c r="D48" s="26">
        <v>0.3347</v>
      </c>
      <c r="E48" s="27">
        <v>0.17</v>
      </c>
      <c r="F48" s="27">
        <v>12082.28</v>
      </c>
      <c r="G48" s="25">
        <v>882.0</v>
      </c>
      <c r="H48" s="26">
        <f t="shared" si="15"/>
        <v>0.01268079478</v>
      </c>
      <c r="I48" s="27">
        <f t="shared" si="16"/>
        <v>13.69873016</v>
      </c>
      <c r="J48" s="27">
        <v>104326.84</v>
      </c>
      <c r="K48" s="27">
        <f t="shared" si="17"/>
        <v>118.2843991</v>
      </c>
    </row>
    <row r="49">
      <c r="A49" s="99" t="s">
        <v>20</v>
      </c>
      <c r="B49" s="25">
        <v>196020.0</v>
      </c>
      <c r="C49" s="25">
        <v>64469.0</v>
      </c>
      <c r="D49" s="26">
        <v>0.3289</v>
      </c>
      <c r="E49" s="27">
        <v>0.14</v>
      </c>
      <c r="F49" s="27">
        <v>9270.08</v>
      </c>
      <c r="G49" s="25">
        <v>3465.0</v>
      </c>
      <c r="H49" s="26">
        <f t="shared" si="15"/>
        <v>0.05374676201</v>
      </c>
      <c r="I49" s="27">
        <f t="shared" si="16"/>
        <v>2.675347763</v>
      </c>
      <c r="J49" s="27">
        <v>387645.2</v>
      </c>
      <c r="K49" s="27">
        <f t="shared" si="17"/>
        <v>111.8745166</v>
      </c>
    </row>
    <row r="50">
      <c r="A50" s="99" t="s">
        <v>21</v>
      </c>
      <c r="B50" s="25">
        <v>105537.0</v>
      </c>
      <c r="C50" s="25">
        <v>36179.0</v>
      </c>
      <c r="D50" s="26">
        <v>0.3428</v>
      </c>
      <c r="E50" s="27">
        <v>0.13</v>
      </c>
      <c r="F50" s="27">
        <v>4550.91</v>
      </c>
      <c r="G50" s="25">
        <v>1726.0</v>
      </c>
      <c r="H50" s="26">
        <f t="shared" si="15"/>
        <v>0.04770723348</v>
      </c>
      <c r="I50" s="27">
        <f t="shared" si="16"/>
        <v>2.636680185</v>
      </c>
      <c r="J50" s="27">
        <v>213317.23</v>
      </c>
      <c r="K50" s="27">
        <f t="shared" si="17"/>
        <v>123.5905156</v>
      </c>
    </row>
    <row r="51">
      <c r="A51" s="99" t="s">
        <v>22</v>
      </c>
      <c r="B51" s="25">
        <v>78554.0</v>
      </c>
      <c r="C51" s="25">
        <v>28196.0</v>
      </c>
      <c r="D51" s="26">
        <v>0.3589</v>
      </c>
      <c r="E51" s="27">
        <v>0.15</v>
      </c>
      <c r="F51" s="27">
        <v>4101.9</v>
      </c>
      <c r="G51" s="25">
        <v>2065.0</v>
      </c>
      <c r="H51" s="26">
        <f t="shared" si="15"/>
        <v>0.07323733863</v>
      </c>
      <c r="I51" s="27">
        <f t="shared" si="16"/>
        <v>1.986392252</v>
      </c>
      <c r="J51" s="27">
        <v>202116.15</v>
      </c>
      <c r="K51" s="27">
        <f t="shared" si="17"/>
        <v>97.87707022</v>
      </c>
    </row>
    <row r="52">
      <c r="A52" s="99" t="s">
        <v>23</v>
      </c>
      <c r="B52" s="25">
        <v>54306.0</v>
      </c>
      <c r="C52" s="25">
        <v>21212.0</v>
      </c>
      <c r="D52" s="26">
        <v>0.3906</v>
      </c>
      <c r="E52" s="27">
        <v>0.13</v>
      </c>
      <c r="F52" s="27">
        <v>2776.27</v>
      </c>
      <c r="G52" s="25">
        <v>1587.0</v>
      </c>
      <c r="H52" s="26">
        <f t="shared" si="15"/>
        <v>0.07481614181</v>
      </c>
      <c r="I52" s="27">
        <f t="shared" si="16"/>
        <v>1.749382483</v>
      </c>
      <c r="J52" s="27">
        <v>169541.74</v>
      </c>
      <c r="K52" s="27">
        <f t="shared" si="17"/>
        <v>106.8315942</v>
      </c>
    </row>
    <row r="53">
      <c r="A53" s="99" t="s">
        <v>24</v>
      </c>
      <c r="B53" s="25">
        <v>41051.0</v>
      </c>
      <c r="C53" s="25">
        <v>15824.0</v>
      </c>
      <c r="D53" s="26">
        <v>0.3855</v>
      </c>
      <c r="E53" s="27">
        <v>0.14</v>
      </c>
      <c r="F53" s="27">
        <v>2153.58</v>
      </c>
      <c r="G53" s="25">
        <v>1080.0</v>
      </c>
      <c r="H53" s="26">
        <f t="shared" si="15"/>
        <v>0.06825075834</v>
      </c>
      <c r="I53" s="27">
        <f t="shared" si="16"/>
        <v>1.994055556</v>
      </c>
      <c r="J53" s="27">
        <v>104628.66</v>
      </c>
      <c r="K53" s="27">
        <f t="shared" si="17"/>
        <v>96.87838889</v>
      </c>
    </row>
    <row r="54">
      <c r="A54" s="99" t="s">
        <v>25</v>
      </c>
      <c r="B54" s="25">
        <v>131327.0</v>
      </c>
      <c r="C54" s="25">
        <v>42952.0</v>
      </c>
      <c r="D54" s="26">
        <v>0.3271</v>
      </c>
      <c r="E54" s="27">
        <v>0.22</v>
      </c>
      <c r="F54" s="27">
        <v>9272.63</v>
      </c>
      <c r="G54" s="25">
        <v>1130.0</v>
      </c>
      <c r="H54" s="26">
        <f t="shared" si="15"/>
        <v>0.02630843733</v>
      </c>
      <c r="I54" s="27">
        <f t="shared" si="16"/>
        <v>8.205867257</v>
      </c>
      <c r="J54" s="27">
        <v>127488.14</v>
      </c>
      <c r="K54" s="27">
        <f t="shared" si="17"/>
        <v>112.8213628</v>
      </c>
    </row>
    <row r="55">
      <c r="A55" s="99" t="s">
        <v>26</v>
      </c>
      <c r="B55" s="25">
        <v>131855.0</v>
      </c>
      <c r="C55" s="25">
        <v>42590.0</v>
      </c>
      <c r="D55" s="26">
        <v>0.323</v>
      </c>
      <c r="E55" s="27">
        <v>0.31</v>
      </c>
      <c r="F55" s="27">
        <v>13078.3</v>
      </c>
      <c r="G55" s="25">
        <v>1140.0</v>
      </c>
      <c r="H55" s="26">
        <f t="shared" si="15"/>
        <v>0.02676684668</v>
      </c>
      <c r="I55" s="27">
        <f t="shared" si="16"/>
        <v>11.47219298</v>
      </c>
      <c r="J55" s="27">
        <v>133810.67</v>
      </c>
      <c r="K55" s="27">
        <f t="shared" si="17"/>
        <v>117.3777807</v>
      </c>
    </row>
    <row r="56">
      <c r="A56" s="99" t="s">
        <v>27</v>
      </c>
      <c r="B56" s="25">
        <v>197650.0</v>
      </c>
      <c r="C56" s="25">
        <v>70401.0</v>
      </c>
      <c r="D56" s="26">
        <v>0.3562</v>
      </c>
      <c r="E56" s="27">
        <v>0.28</v>
      </c>
      <c r="F56" s="27">
        <v>19474.86</v>
      </c>
      <c r="G56" s="25">
        <v>1614.0</v>
      </c>
      <c r="H56" s="26">
        <f t="shared" si="15"/>
        <v>0.02292581071</v>
      </c>
      <c r="I56" s="27">
        <f t="shared" si="16"/>
        <v>12.06620818</v>
      </c>
      <c r="J56" s="27">
        <v>203031.84</v>
      </c>
      <c r="K56" s="27">
        <f t="shared" si="17"/>
        <v>125.7942007</v>
      </c>
    </row>
    <row r="57">
      <c r="A57" s="12" t="s">
        <v>28</v>
      </c>
      <c r="B57" s="38">
        <v>1714159.0</v>
      </c>
      <c r="C57" s="38">
        <v>594591.0</v>
      </c>
      <c r="D57" s="39">
        <v>0.3469</v>
      </c>
      <c r="E57" s="37">
        <v>0.19</v>
      </c>
      <c r="F57" s="37">
        <v>110264.6</v>
      </c>
      <c r="G57" s="38">
        <f>SUM(G45:G56)</f>
        <v>20177</v>
      </c>
      <c r="H57" s="39">
        <f t="shared" si="15"/>
        <v>0.0339342506</v>
      </c>
      <c r="I57" s="37">
        <f t="shared" si="16"/>
        <v>5.464865936</v>
      </c>
      <c r="J57" s="37">
        <f>SUM(J45:J56)</f>
        <v>2271883.82</v>
      </c>
      <c r="K57" s="37">
        <f t="shared" si="17"/>
        <v>112.5977013</v>
      </c>
    </row>
    <row r="58">
      <c r="A58" s="96"/>
      <c r="B58" s="96"/>
      <c r="C58" s="96"/>
      <c r="D58" s="96"/>
      <c r="E58" s="96"/>
      <c r="F58" s="97"/>
      <c r="G58" s="96"/>
      <c r="H58" s="98"/>
      <c r="I58" s="97"/>
      <c r="J58" s="97"/>
      <c r="K58" s="97"/>
    </row>
    <row r="59">
      <c r="A59" s="96"/>
      <c r="B59" s="96"/>
      <c r="C59" s="96"/>
      <c r="D59" s="96"/>
      <c r="E59" s="96"/>
      <c r="F59" s="97"/>
      <c r="G59" s="96"/>
      <c r="H59" s="98"/>
      <c r="I59" s="97"/>
      <c r="J59" s="97"/>
      <c r="K59" s="97"/>
    </row>
    <row r="60">
      <c r="A60" s="95" t="s">
        <v>52</v>
      </c>
      <c r="B60" s="96"/>
      <c r="C60" s="96"/>
      <c r="D60" s="96"/>
      <c r="E60" s="96"/>
      <c r="F60" s="97"/>
      <c r="G60" s="96"/>
      <c r="H60" s="98"/>
      <c r="I60" s="97"/>
      <c r="J60" s="97"/>
      <c r="K60" s="97"/>
    </row>
    <row r="61">
      <c r="A61" s="12" t="s">
        <v>3</v>
      </c>
      <c r="B61" s="12" t="s">
        <v>4</v>
      </c>
      <c r="C61" s="12" t="s">
        <v>5</v>
      </c>
      <c r="D61" s="12" t="s">
        <v>6</v>
      </c>
      <c r="E61" s="12" t="s">
        <v>7</v>
      </c>
      <c r="F61" s="12" t="s">
        <v>8</v>
      </c>
      <c r="G61" s="12" t="s">
        <v>9</v>
      </c>
      <c r="H61" s="12" t="s">
        <v>10</v>
      </c>
      <c r="I61" s="12" t="s">
        <v>11</v>
      </c>
      <c r="J61" s="11" t="s">
        <v>12</v>
      </c>
      <c r="K61" s="11" t="s">
        <v>13</v>
      </c>
    </row>
    <row r="62">
      <c r="A62" s="99" t="s">
        <v>16</v>
      </c>
      <c r="B62" s="25">
        <v>264720.0</v>
      </c>
      <c r="C62" s="25">
        <v>7575.0</v>
      </c>
      <c r="D62" s="26">
        <f t="shared" ref="D62:D74" si="18">C62/B62</f>
        <v>0.02861514053</v>
      </c>
      <c r="E62" s="27">
        <f t="shared" ref="E62:E74" si="19">F62/C62</f>
        <v>0.2836528053</v>
      </c>
      <c r="F62" s="27">
        <v>2148.67</v>
      </c>
      <c r="G62" s="100">
        <v>223.0</v>
      </c>
      <c r="H62" s="26">
        <f t="shared" ref="H62:H74" si="20">G62/C62</f>
        <v>0.02943894389</v>
      </c>
      <c r="I62" s="27">
        <f t="shared" ref="I62:I74" si="21">F62/G62</f>
        <v>9.63529148</v>
      </c>
      <c r="J62" s="27">
        <v>20343.41</v>
      </c>
      <c r="K62" s="27">
        <f t="shared" ref="K62:K74" si="22">J62/G62</f>
        <v>91.22605381</v>
      </c>
    </row>
    <row r="63">
      <c r="A63" s="99" t="s">
        <v>17</v>
      </c>
      <c r="B63" s="25">
        <v>125733.0</v>
      </c>
      <c r="C63" s="25">
        <v>6092.0</v>
      </c>
      <c r="D63" s="26">
        <f t="shared" si="18"/>
        <v>0.04845187819</v>
      </c>
      <c r="E63" s="27">
        <f t="shared" si="19"/>
        <v>0.1938525936</v>
      </c>
      <c r="F63" s="27">
        <v>1180.95</v>
      </c>
      <c r="G63" s="100">
        <v>190.0</v>
      </c>
      <c r="H63" s="26">
        <f t="shared" si="20"/>
        <v>0.03118844386</v>
      </c>
      <c r="I63" s="27">
        <f t="shared" si="21"/>
        <v>6.215526316</v>
      </c>
      <c r="J63" s="27">
        <v>16372.58</v>
      </c>
      <c r="K63" s="27">
        <f t="shared" si="22"/>
        <v>86.17147368</v>
      </c>
    </row>
    <row r="64">
      <c r="A64" s="99" t="s">
        <v>18</v>
      </c>
      <c r="B64" s="25">
        <v>190647.0</v>
      </c>
      <c r="C64" s="25">
        <v>10637.0</v>
      </c>
      <c r="D64" s="26">
        <f t="shared" si="18"/>
        <v>0.05579421654</v>
      </c>
      <c r="E64" s="27">
        <f t="shared" si="19"/>
        <v>0.168335997</v>
      </c>
      <c r="F64" s="27">
        <v>1790.59</v>
      </c>
      <c r="G64" s="100">
        <v>371.0</v>
      </c>
      <c r="H64" s="26">
        <f t="shared" si="20"/>
        <v>0.03487825515</v>
      </c>
      <c r="I64" s="27">
        <f t="shared" si="21"/>
        <v>4.82638814</v>
      </c>
      <c r="J64" s="27">
        <v>35458.02</v>
      </c>
      <c r="K64" s="27">
        <f t="shared" si="22"/>
        <v>95.5741779</v>
      </c>
    </row>
    <row r="65">
      <c r="A65" s="99" t="s">
        <v>19</v>
      </c>
      <c r="B65" s="25">
        <v>98187.0</v>
      </c>
      <c r="C65" s="25">
        <v>12404.0</v>
      </c>
      <c r="D65" s="26">
        <f t="shared" si="18"/>
        <v>0.1263303696</v>
      </c>
      <c r="E65" s="27">
        <f t="shared" si="19"/>
        <v>0.2366043212</v>
      </c>
      <c r="F65" s="27">
        <v>2934.84</v>
      </c>
      <c r="G65" s="100">
        <v>227.0</v>
      </c>
      <c r="H65" s="26">
        <f t="shared" si="20"/>
        <v>0.01830054821</v>
      </c>
      <c r="I65" s="27">
        <f t="shared" si="21"/>
        <v>12.92881057</v>
      </c>
      <c r="J65" s="27">
        <v>21131.26</v>
      </c>
      <c r="K65" s="27">
        <f t="shared" si="22"/>
        <v>93.0892511</v>
      </c>
    </row>
    <row r="66">
      <c r="A66" s="99" t="s">
        <v>20</v>
      </c>
      <c r="B66" s="25">
        <v>76900.0</v>
      </c>
      <c r="C66" s="25">
        <v>20369.0</v>
      </c>
      <c r="D66" s="26">
        <f t="shared" si="18"/>
        <v>0.2648764629</v>
      </c>
      <c r="E66" s="27">
        <f t="shared" si="19"/>
        <v>0.1608630762</v>
      </c>
      <c r="F66" s="27">
        <v>3276.62</v>
      </c>
      <c r="G66" s="100">
        <v>1312.0</v>
      </c>
      <c r="H66" s="26">
        <f t="shared" si="20"/>
        <v>0.06441160587</v>
      </c>
      <c r="I66" s="27">
        <f t="shared" si="21"/>
        <v>2.49742378</v>
      </c>
      <c r="J66" s="27">
        <v>104249.29</v>
      </c>
      <c r="K66" s="27">
        <f t="shared" si="22"/>
        <v>79.4583003</v>
      </c>
    </row>
    <row r="67">
      <c r="A67" s="99" t="s">
        <v>21</v>
      </c>
      <c r="B67" s="25">
        <v>61868.0</v>
      </c>
      <c r="C67" s="25">
        <v>27293.0</v>
      </c>
      <c r="D67" s="26">
        <f t="shared" si="18"/>
        <v>0.4411488977</v>
      </c>
      <c r="E67" s="27">
        <f t="shared" si="19"/>
        <v>0.06578023669</v>
      </c>
      <c r="F67" s="27">
        <v>1795.34</v>
      </c>
      <c r="G67" s="100">
        <v>2233.0</v>
      </c>
      <c r="H67" s="26">
        <f t="shared" si="20"/>
        <v>0.08181585022</v>
      </c>
      <c r="I67" s="27">
        <f t="shared" si="21"/>
        <v>0.8040035826</v>
      </c>
      <c r="J67" s="27">
        <v>199599.18</v>
      </c>
      <c r="K67" s="27">
        <f t="shared" si="22"/>
        <v>89.38610837</v>
      </c>
    </row>
    <row r="68">
      <c r="A68" s="99" t="s">
        <v>22</v>
      </c>
      <c r="B68" s="25">
        <v>20998.0</v>
      </c>
      <c r="C68" s="25">
        <v>6203.0</v>
      </c>
      <c r="D68" s="26">
        <f t="shared" si="18"/>
        <v>0.2954090866</v>
      </c>
      <c r="E68" s="27">
        <f t="shared" si="19"/>
        <v>0.1474141544</v>
      </c>
      <c r="F68" s="27">
        <v>914.41</v>
      </c>
      <c r="G68" s="100">
        <v>687.0</v>
      </c>
      <c r="H68" s="26">
        <f t="shared" si="20"/>
        <v>0.1107528615</v>
      </c>
      <c r="I68" s="27">
        <f t="shared" si="21"/>
        <v>1.331018923</v>
      </c>
      <c r="J68" s="21">
        <v>59599.31</v>
      </c>
      <c r="K68" s="27">
        <f t="shared" si="22"/>
        <v>86.75299854</v>
      </c>
    </row>
    <row r="69">
      <c r="A69" s="99" t="s">
        <v>23</v>
      </c>
      <c r="B69" s="25">
        <v>12647.0</v>
      </c>
      <c r="C69" s="25">
        <v>3496.0</v>
      </c>
      <c r="D69" s="26">
        <f t="shared" si="18"/>
        <v>0.2764291927</v>
      </c>
      <c r="E69" s="27">
        <f t="shared" si="19"/>
        <v>0.1882437071</v>
      </c>
      <c r="F69" s="27">
        <v>658.1</v>
      </c>
      <c r="G69" s="100">
        <v>396.0</v>
      </c>
      <c r="H69" s="26">
        <f t="shared" si="20"/>
        <v>0.1132723112</v>
      </c>
      <c r="I69" s="27">
        <f t="shared" si="21"/>
        <v>1.661868687</v>
      </c>
      <c r="J69" s="21">
        <v>32986.07</v>
      </c>
      <c r="K69" s="27">
        <f t="shared" si="22"/>
        <v>83.29815657</v>
      </c>
    </row>
    <row r="70">
      <c r="A70" s="99" t="s">
        <v>24</v>
      </c>
      <c r="B70" s="25">
        <v>13186.0</v>
      </c>
      <c r="C70" s="25">
        <v>3415.0</v>
      </c>
      <c r="D70" s="26">
        <f t="shared" si="18"/>
        <v>0.2589868042</v>
      </c>
      <c r="E70" s="27">
        <f t="shared" si="19"/>
        <v>0.1949136164</v>
      </c>
      <c r="F70" s="27">
        <v>665.63</v>
      </c>
      <c r="G70" s="100">
        <v>346.0</v>
      </c>
      <c r="H70" s="26">
        <f t="shared" si="20"/>
        <v>0.101317716</v>
      </c>
      <c r="I70" s="27">
        <f t="shared" si="21"/>
        <v>1.923786127</v>
      </c>
      <c r="J70" s="27">
        <v>23774.82</v>
      </c>
      <c r="K70" s="27">
        <f t="shared" si="22"/>
        <v>68.7133526</v>
      </c>
    </row>
    <row r="71">
      <c r="A71" s="107" t="s">
        <v>25</v>
      </c>
      <c r="B71" s="108">
        <v>14818.0</v>
      </c>
      <c r="C71" s="109">
        <v>3624.0</v>
      </c>
      <c r="D71" s="110">
        <f t="shared" si="18"/>
        <v>0.244567418</v>
      </c>
      <c r="E71" s="111">
        <f t="shared" si="19"/>
        <v>0.1979001104</v>
      </c>
      <c r="F71" s="111">
        <v>717.19</v>
      </c>
      <c r="G71" s="109">
        <v>216.0</v>
      </c>
      <c r="H71" s="110">
        <f t="shared" si="20"/>
        <v>0.05960264901</v>
      </c>
      <c r="I71" s="111">
        <f t="shared" si="21"/>
        <v>3.320324074</v>
      </c>
      <c r="J71" s="111">
        <v>21792.84</v>
      </c>
      <c r="K71" s="111">
        <f t="shared" si="22"/>
        <v>100.8927778</v>
      </c>
      <c r="L71" s="28"/>
      <c r="M71" s="28"/>
      <c r="N71" s="28"/>
      <c r="O71" s="28"/>
    </row>
    <row r="72">
      <c r="A72" s="99" t="s">
        <v>26</v>
      </c>
      <c r="B72" s="25">
        <v>80021.0</v>
      </c>
      <c r="C72" s="25">
        <v>2823.0</v>
      </c>
      <c r="D72" s="26">
        <f t="shared" si="18"/>
        <v>0.03527823946</v>
      </c>
      <c r="E72" s="27">
        <f t="shared" si="19"/>
        <v>0.3568225292</v>
      </c>
      <c r="F72" s="27">
        <v>1007.31</v>
      </c>
      <c r="G72" s="100">
        <v>79.0</v>
      </c>
      <c r="H72" s="26">
        <f t="shared" si="20"/>
        <v>0.02798441374</v>
      </c>
      <c r="I72" s="27">
        <f t="shared" si="21"/>
        <v>12.75075949</v>
      </c>
      <c r="J72" s="27">
        <v>6690.29</v>
      </c>
      <c r="K72" s="27">
        <f t="shared" si="22"/>
        <v>84.68721519</v>
      </c>
    </row>
    <row r="73">
      <c r="A73" s="99" t="s">
        <v>27</v>
      </c>
      <c r="B73" s="25">
        <v>86281.0</v>
      </c>
      <c r="C73" s="25">
        <v>6809.0</v>
      </c>
      <c r="D73" s="26">
        <f t="shared" si="18"/>
        <v>0.07891656332</v>
      </c>
      <c r="E73" s="27">
        <f t="shared" si="19"/>
        <v>0.379095315</v>
      </c>
      <c r="F73" s="27">
        <v>2581.26</v>
      </c>
      <c r="G73" s="100">
        <v>111.0</v>
      </c>
      <c r="H73" s="26">
        <f t="shared" si="20"/>
        <v>0.0163019533</v>
      </c>
      <c r="I73" s="27">
        <f t="shared" si="21"/>
        <v>23.25459459</v>
      </c>
      <c r="J73" s="27">
        <v>10837.72</v>
      </c>
      <c r="K73" s="27">
        <f t="shared" si="22"/>
        <v>97.63711712</v>
      </c>
    </row>
    <row r="74">
      <c r="A74" s="12" t="s">
        <v>28</v>
      </c>
      <c r="B74" s="25">
        <f t="shared" ref="B74:C74" si="23">sum(B62:B73)</f>
        <v>1046006</v>
      </c>
      <c r="C74" s="25">
        <f t="shared" si="23"/>
        <v>110740</v>
      </c>
      <c r="D74" s="26">
        <f t="shared" si="18"/>
        <v>0.1058693736</v>
      </c>
      <c r="E74" s="27">
        <f t="shared" si="19"/>
        <v>0.1776314791</v>
      </c>
      <c r="F74" s="27">
        <f t="shared" ref="F74:G74" si="24">SUM(F62:F73)</f>
        <v>19670.91</v>
      </c>
      <c r="G74" s="27">
        <f t="shared" si="24"/>
        <v>6391</v>
      </c>
      <c r="H74" s="26">
        <f t="shared" si="20"/>
        <v>0.05771175727</v>
      </c>
      <c r="I74" s="27">
        <f t="shared" si="21"/>
        <v>3.077907996</v>
      </c>
      <c r="J74" s="27">
        <f>SUM(J62:J73)</f>
        <v>552834.79</v>
      </c>
      <c r="K74" s="27">
        <f t="shared" si="22"/>
        <v>86.50207949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</cols>
  <sheetData>
    <row r="1">
      <c r="C1" s="1"/>
      <c r="E1" s="2"/>
      <c r="F1" s="2"/>
    </row>
    <row r="2">
      <c r="C2" s="1"/>
      <c r="E2" s="2"/>
      <c r="F2" s="2"/>
    </row>
    <row r="3">
      <c r="C3" s="1"/>
      <c r="E3" s="2"/>
      <c r="F3" s="2"/>
    </row>
    <row r="4">
      <c r="C4" s="1"/>
      <c r="E4" s="2"/>
      <c r="F4" s="2"/>
    </row>
    <row r="5">
      <c r="C5" s="1"/>
      <c r="E5" s="2"/>
      <c r="F5" s="2"/>
    </row>
    <row r="6">
      <c r="A6" s="4" t="s">
        <v>53</v>
      </c>
      <c r="C6" s="1"/>
      <c r="E6" s="2"/>
      <c r="F6" s="2"/>
    </row>
    <row r="7">
      <c r="C7" s="1"/>
      <c r="E7" s="2"/>
      <c r="F7" s="2"/>
    </row>
    <row r="8">
      <c r="C8" s="1"/>
      <c r="E8" s="2"/>
      <c r="F8" s="2"/>
    </row>
    <row r="9">
      <c r="A9" s="4" t="s">
        <v>1</v>
      </c>
      <c r="B9" s="5"/>
      <c r="C9" s="5"/>
      <c r="D9" s="6"/>
      <c r="E9" s="7"/>
      <c r="F9" s="7"/>
      <c r="G9" s="5"/>
      <c r="H9" s="5"/>
      <c r="I9" s="5"/>
      <c r="J9" s="7"/>
      <c r="K9" s="5"/>
    </row>
    <row r="10">
      <c r="A10" s="8" t="s">
        <v>3</v>
      </c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  <c r="G10" s="8" t="s">
        <v>21</v>
      </c>
      <c r="H10" s="8" t="s">
        <v>22</v>
      </c>
      <c r="I10" s="8" t="s">
        <v>23</v>
      </c>
      <c r="J10" s="8" t="s">
        <v>24</v>
      </c>
      <c r="K10" s="8" t="s">
        <v>25</v>
      </c>
      <c r="L10" s="8" t="s">
        <v>26</v>
      </c>
      <c r="M10" s="8" t="s">
        <v>27</v>
      </c>
    </row>
    <row r="11">
      <c r="A11" s="14" t="s">
        <v>54</v>
      </c>
      <c r="B11" s="14">
        <v>4.0</v>
      </c>
      <c r="C11" s="14">
        <v>4.0</v>
      </c>
      <c r="D11" s="14">
        <v>4.0</v>
      </c>
      <c r="E11" s="14">
        <v>4.0</v>
      </c>
      <c r="F11" s="14">
        <v>4.0</v>
      </c>
      <c r="G11" s="14">
        <v>4.0</v>
      </c>
      <c r="H11" s="14">
        <v>4.0</v>
      </c>
      <c r="I11" s="14">
        <v>4.0</v>
      </c>
      <c r="J11" s="14">
        <v>4.0</v>
      </c>
      <c r="K11" s="14">
        <v>4.0</v>
      </c>
      <c r="L11" s="14">
        <v>4.0</v>
      </c>
      <c r="M11" s="14">
        <v>4.0</v>
      </c>
    </row>
    <row r="12">
      <c r="A12" s="14" t="s">
        <v>55</v>
      </c>
      <c r="B12" s="18">
        <v>700.0</v>
      </c>
      <c r="C12" s="18">
        <v>700.0</v>
      </c>
      <c r="D12" s="18">
        <v>700.0</v>
      </c>
      <c r="E12" s="18">
        <v>700.0</v>
      </c>
      <c r="F12" s="18">
        <v>700.0</v>
      </c>
      <c r="G12" s="18">
        <v>700.0</v>
      </c>
      <c r="H12" s="18">
        <v>700.0</v>
      </c>
      <c r="I12" s="18">
        <v>700.0</v>
      </c>
      <c r="J12" s="18">
        <v>700.0</v>
      </c>
      <c r="K12" s="18">
        <v>700.0</v>
      </c>
      <c r="L12" s="18">
        <v>700.0</v>
      </c>
      <c r="M12" s="18">
        <v>700.0</v>
      </c>
    </row>
    <row r="13">
      <c r="A13" s="14" t="s">
        <v>28</v>
      </c>
      <c r="B13" s="20">
        <f t="shared" ref="B13:M13" si="1">B12*B11</f>
        <v>2800</v>
      </c>
      <c r="C13" s="20">
        <f t="shared" si="1"/>
        <v>2800</v>
      </c>
      <c r="D13" s="20">
        <f t="shared" si="1"/>
        <v>2800</v>
      </c>
      <c r="E13" s="20">
        <f t="shared" si="1"/>
        <v>2800</v>
      </c>
      <c r="F13" s="20">
        <f t="shared" si="1"/>
        <v>2800</v>
      </c>
      <c r="G13" s="20">
        <f t="shared" si="1"/>
        <v>2800</v>
      </c>
      <c r="H13" s="20">
        <f t="shared" si="1"/>
        <v>2800</v>
      </c>
      <c r="I13" s="20">
        <f t="shared" si="1"/>
        <v>2800</v>
      </c>
      <c r="J13" s="20">
        <f t="shared" si="1"/>
        <v>2800</v>
      </c>
      <c r="K13" s="20">
        <f t="shared" si="1"/>
        <v>2800</v>
      </c>
      <c r="L13" s="20">
        <f t="shared" si="1"/>
        <v>2800</v>
      </c>
      <c r="M13" s="20">
        <f t="shared" si="1"/>
        <v>2800</v>
      </c>
      <c r="N13" s="2">
        <f>SUM(B13:M13)</f>
        <v>33600</v>
      </c>
    </row>
    <row r="14">
      <c r="A14" s="3"/>
      <c r="D14" s="23"/>
      <c r="E14" s="2"/>
      <c r="F14" s="2"/>
      <c r="H14" s="23"/>
    </row>
    <row r="15">
      <c r="A15" s="3"/>
      <c r="D15" s="23"/>
      <c r="E15" s="2"/>
      <c r="F15" s="2"/>
      <c r="H15" s="23"/>
    </row>
    <row r="16">
      <c r="A16" s="4" t="s">
        <v>56</v>
      </c>
      <c r="B16" s="5"/>
      <c r="C16" s="5"/>
      <c r="D16" s="6"/>
      <c r="E16" s="7"/>
      <c r="F16" s="7"/>
      <c r="G16" s="5"/>
      <c r="H16" s="5"/>
      <c r="I16" s="5"/>
      <c r="J16" s="7"/>
      <c r="K16" s="5"/>
    </row>
    <row r="17">
      <c r="A17" s="8" t="s">
        <v>3</v>
      </c>
      <c r="B17" s="8" t="s">
        <v>16</v>
      </c>
      <c r="C17" s="8" t="s">
        <v>17</v>
      </c>
      <c r="D17" s="8" t="s">
        <v>18</v>
      </c>
      <c r="E17" s="8" t="s">
        <v>19</v>
      </c>
      <c r="F17" s="8" t="s">
        <v>20</v>
      </c>
      <c r="G17" s="8" t="s">
        <v>21</v>
      </c>
      <c r="H17" s="8" t="s">
        <v>22</v>
      </c>
      <c r="I17" s="8" t="s">
        <v>23</v>
      </c>
      <c r="J17" s="8" t="s">
        <v>24</v>
      </c>
      <c r="K17" s="8" t="s">
        <v>25</v>
      </c>
      <c r="L17" s="8" t="s">
        <v>26</v>
      </c>
      <c r="M17" s="8" t="s">
        <v>27</v>
      </c>
    </row>
    <row r="18">
      <c r="A18" s="14" t="s">
        <v>57</v>
      </c>
      <c r="B18" s="14">
        <v>10.0</v>
      </c>
      <c r="C18" s="14">
        <v>10.0</v>
      </c>
      <c r="D18" s="14">
        <v>10.0</v>
      </c>
      <c r="E18" s="14">
        <v>10.0</v>
      </c>
      <c r="F18" s="14">
        <v>10.0</v>
      </c>
      <c r="G18" s="14">
        <v>10.0</v>
      </c>
      <c r="H18" s="14">
        <v>10.0</v>
      </c>
      <c r="I18" s="14">
        <v>10.0</v>
      </c>
      <c r="J18" s="14">
        <v>10.0</v>
      </c>
      <c r="K18" s="14">
        <v>10.0</v>
      </c>
      <c r="L18" s="14">
        <v>10.0</v>
      </c>
      <c r="M18" s="14">
        <v>10.0</v>
      </c>
    </row>
    <row r="19">
      <c r="A19" s="14" t="s">
        <v>54</v>
      </c>
      <c r="B19" s="14">
        <v>6.0</v>
      </c>
      <c r="C19" s="14">
        <v>6.0</v>
      </c>
      <c r="D19" s="14">
        <v>6.0</v>
      </c>
      <c r="E19" s="14">
        <v>6.0</v>
      </c>
      <c r="F19" s="14">
        <v>6.0</v>
      </c>
      <c r="G19" s="14">
        <v>6.0</v>
      </c>
      <c r="H19" s="14">
        <v>6.0</v>
      </c>
      <c r="I19" s="14">
        <v>6.0</v>
      </c>
      <c r="J19" s="14">
        <v>6.0</v>
      </c>
      <c r="K19" s="14">
        <v>6.0</v>
      </c>
      <c r="L19" s="14">
        <v>6.0</v>
      </c>
      <c r="M19" s="14">
        <v>6.0</v>
      </c>
    </row>
    <row r="20">
      <c r="A20" s="14" t="s">
        <v>55</v>
      </c>
      <c r="B20" s="18">
        <v>700.0</v>
      </c>
      <c r="C20" s="18">
        <v>700.0</v>
      </c>
      <c r="D20" s="18">
        <v>700.0</v>
      </c>
      <c r="E20" s="18">
        <v>700.0</v>
      </c>
      <c r="F20" s="18">
        <v>700.0</v>
      </c>
      <c r="G20" s="18">
        <v>700.0</v>
      </c>
      <c r="H20" s="18">
        <v>700.0</v>
      </c>
      <c r="I20" s="18">
        <v>700.0</v>
      </c>
      <c r="J20" s="18">
        <v>700.0</v>
      </c>
      <c r="K20" s="18">
        <v>700.0</v>
      </c>
      <c r="L20" s="18">
        <v>700.0</v>
      </c>
      <c r="M20" s="18">
        <v>700.0</v>
      </c>
    </row>
    <row r="21">
      <c r="A21" s="14" t="s">
        <v>28</v>
      </c>
      <c r="B21" s="20">
        <f t="shared" ref="B21:M21" si="2">B19*B20</f>
        <v>4200</v>
      </c>
      <c r="C21" s="20">
        <f t="shared" si="2"/>
        <v>4200</v>
      </c>
      <c r="D21" s="20">
        <f t="shared" si="2"/>
        <v>4200</v>
      </c>
      <c r="E21" s="20">
        <f t="shared" si="2"/>
        <v>4200</v>
      </c>
      <c r="F21" s="20">
        <f t="shared" si="2"/>
        <v>4200</v>
      </c>
      <c r="G21" s="20">
        <f t="shared" si="2"/>
        <v>4200</v>
      </c>
      <c r="H21" s="20">
        <f t="shared" si="2"/>
        <v>4200</v>
      </c>
      <c r="I21" s="20">
        <f t="shared" si="2"/>
        <v>4200</v>
      </c>
      <c r="J21" s="20">
        <f t="shared" si="2"/>
        <v>4200</v>
      </c>
      <c r="K21" s="20">
        <f t="shared" si="2"/>
        <v>4200</v>
      </c>
      <c r="L21" s="20">
        <f t="shared" si="2"/>
        <v>4200</v>
      </c>
      <c r="M21" s="20">
        <f t="shared" si="2"/>
        <v>4200</v>
      </c>
      <c r="N21" s="2">
        <f>SUM(B21:M21)</f>
        <v>50400</v>
      </c>
    </row>
    <row r="22">
      <c r="A22" s="3"/>
      <c r="D22" s="23"/>
      <c r="E22" s="2"/>
      <c r="F22" s="2"/>
      <c r="H22" s="23"/>
    </row>
    <row r="23">
      <c r="A23" s="3"/>
      <c r="D23" s="23"/>
      <c r="E23" s="2"/>
      <c r="F23" s="2"/>
      <c r="H23" s="23"/>
    </row>
    <row r="25">
      <c r="C25" s="1"/>
      <c r="E25" s="2"/>
      <c r="F25" s="2"/>
    </row>
    <row r="26">
      <c r="C26" s="1"/>
      <c r="E26" s="2"/>
      <c r="F26" s="2"/>
    </row>
    <row r="27">
      <c r="C27" s="1"/>
      <c r="E27" s="2"/>
      <c r="F27" s="2"/>
    </row>
    <row r="28">
      <c r="C28" s="1"/>
      <c r="E28" s="2"/>
      <c r="F28" s="2"/>
    </row>
    <row r="29">
      <c r="C29" s="1"/>
      <c r="E29" s="2"/>
      <c r="F29" s="2"/>
    </row>
    <row r="30">
      <c r="C30" s="1"/>
      <c r="E30" s="2"/>
      <c r="F30" s="2"/>
    </row>
    <row r="31">
      <c r="C31" s="1"/>
      <c r="E31" s="2"/>
      <c r="F31" s="2"/>
    </row>
    <row r="32">
      <c r="C32" s="1"/>
      <c r="E32" s="2"/>
      <c r="F32" s="2"/>
    </row>
    <row r="33">
      <c r="C33" s="1"/>
      <c r="E33" s="2"/>
      <c r="F33" s="2"/>
    </row>
    <row r="34">
      <c r="C34" s="1"/>
      <c r="E34" s="2"/>
      <c r="F34" s="2"/>
    </row>
    <row r="35">
      <c r="C35" s="1"/>
      <c r="E35" s="2"/>
      <c r="F35" s="2"/>
    </row>
    <row r="36">
      <c r="C36" s="1"/>
      <c r="E36" s="2"/>
      <c r="F36" s="2"/>
    </row>
    <row r="37">
      <c r="C37" s="1"/>
      <c r="E37" s="2"/>
      <c r="F37" s="2"/>
    </row>
    <row r="38">
      <c r="C38" s="1"/>
      <c r="E38" s="2"/>
      <c r="F38" s="2"/>
    </row>
    <row r="39">
      <c r="C39" s="1"/>
      <c r="E39" s="2"/>
      <c r="F39" s="2"/>
    </row>
    <row r="40">
      <c r="C40" s="1"/>
      <c r="E40" s="2"/>
      <c r="F40" s="2"/>
    </row>
    <row r="41">
      <c r="C41" s="1"/>
      <c r="E41" s="2"/>
      <c r="F41" s="2"/>
    </row>
    <row r="42">
      <c r="C42" s="1"/>
      <c r="E42" s="2"/>
      <c r="F42" s="2"/>
    </row>
    <row r="43">
      <c r="C43" s="1"/>
      <c r="E43" s="2"/>
      <c r="F43" s="2"/>
    </row>
    <row r="44">
      <c r="C44" s="1"/>
      <c r="E44" s="2"/>
      <c r="F44" s="2"/>
    </row>
    <row r="45">
      <c r="C45" s="1"/>
      <c r="E45" s="2"/>
      <c r="F45" s="2"/>
    </row>
    <row r="46">
      <c r="C46" s="1"/>
      <c r="E46" s="2"/>
      <c r="F46" s="2"/>
    </row>
    <row r="47">
      <c r="C47" s="1"/>
      <c r="E47" s="2"/>
      <c r="F47" s="2"/>
    </row>
    <row r="48">
      <c r="C48" s="1"/>
      <c r="E48" s="2"/>
      <c r="F48" s="2"/>
    </row>
    <row r="49">
      <c r="C49" s="1"/>
      <c r="E49" s="2"/>
      <c r="F49" s="2"/>
    </row>
    <row r="50">
      <c r="C50" s="1"/>
      <c r="E50" s="2"/>
      <c r="F50" s="2"/>
    </row>
    <row r="51">
      <c r="C51" s="1"/>
      <c r="E51" s="2"/>
      <c r="F51" s="2"/>
    </row>
    <row r="52">
      <c r="C52" s="1"/>
      <c r="E52" s="2"/>
      <c r="F52" s="2"/>
    </row>
    <row r="53">
      <c r="C53" s="1"/>
      <c r="E53" s="2"/>
      <c r="F53" s="2"/>
    </row>
    <row r="54">
      <c r="C54" s="1"/>
      <c r="E54" s="2"/>
      <c r="F54" s="2"/>
    </row>
    <row r="55">
      <c r="C55" s="1"/>
      <c r="E55" s="2"/>
      <c r="F55" s="2"/>
    </row>
    <row r="56">
      <c r="C56" s="1"/>
      <c r="E56" s="2"/>
      <c r="F56" s="2"/>
    </row>
    <row r="57">
      <c r="C57" s="1"/>
      <c r="E57" s="2"/>
      <c r="F57" s="2"/>
    </row>
    <row r="58">
      <c r="C58" s="1"/>
      <c r="E58" s="2"/>
      <c r="F58" s="2"/>
    </row>
    <row r="59">
      <c r="C59" s="1"/>
      <c r="E59" s="2"/>
      <c r="F59" s="2"/>
    </row>
    <row r="60">
      <c r="C60" s="1"/>
      <c r="E60" s="2"/>
      <c r="F60" s="2"/>
    </row>
    <row r="61">
      <c r="C61" s="1"/>
      <c r="E61" s="2"/>
      <c r="F61" s="2"/>
    </row>
    <row r="62">
      <c r="C62" s="1"/>
      <c r="E62" s="2"/>
      <c r="F62" s="2"/>
    </row>
    <row r="63">
      <c r="C63" s="1"/>
      <c r="E63" s="2"/>
      <c r="F63" s="2"/>
    </row>
    <row r="64">
      <c r="C64" s="1"/>
      <c r="E64" s="2"/>
      <c r="F64" s="2"/>
    </row>
    <row r="65">
      <c r="C65" s="1"/>
      <c r="E65" s="2"/>
      <c r="F65" s="2"/>
    </row>
    <row r="66">
      <c r="C66" s="1"/>
      <c r="E66" s="2"/>
      <c r="F66" s="2"/>
    </row>
    <row r="67">
      <c r="C67" s="1"/>
      <c r="E67" s="2"/>
      <c r="F67" s="2"/>
    </row>
    <row r="68">
      <c r="C68" s="1"/>
      <c r="E68" s="2"/>
      <c r="F68" s="2"/>
    </row>
    <row r="69">
      <c r="C69" s="1"/>
      <c r="E69" s="2"/>
      <c r="F69" s="2"/>
    </row>
    <row r="70">
      <c r="C70" s="1"/>
      <c r="E70" s="2"/>
      <c r="F70" s="2"/>
    </row>
    <row r="71">
      <c r="C71" s="1"/>
      <c r="E71" s="2"/>
      <c r="F71" s="2"/>
    </row>
    <row r="72">
      <c r="C72" s="1"/>
      <c r="E72" s="2"/>
      <c r="F72" s="2"/>
    </row>
    <row r="73">
      <c r="C73" s="1"/>
      <c r="E73" s="2"/>
      <c r="F73" s="2"/>
    </row>
    <row r="74">
      <c r="C74" s="1"/>
      <c r="E74" s="2"/>
      <c r="F74" s="2"/>
    </row>
    <row r="75">
      <c r="C75" s="1"/>
      <c r="E75" s="2"/>
      <c r="F75" s="2"/>
    </row>
    <row r="76">
      <c r="C76" s="1"/>
      <c r="E76" s="2"/>
      <c r="F76" s="2"/>
    </row>
    <row r="77">
      <c r="C77" s="1"/>
      <c r="E77" s="2"/>
      <c r="F77" s="2"/>
    </row>
    <row r="78">
      <c r="C78" s="1"/>
      <c r="E78" s="2"/>
      <c r="F78" s="2"/>
    </row>
    <row r="79">
      <c r="C79" s="1"/>
      <c r="E79" s="2"/>
      <c r="F79" s="2"/>
    </row>
    <row r="80">
      <c r="C80" s="1"/>
      <c r="E80" s="2"/>
      <c r="F80" s="2"/>
    </row>
    <row r="81">
      <c r="C81" s="1"/>
      <c r="E81" s="2"/>
      <c r="F81" s="2"/>
    </row>
    <row r="82">
      <c r="C82" s="1"/>
      <c r="E82" s="2"/>
      <c r="F82" s="2"/>
    </row>
    <row r="83">
      <c r="C83" s="1"/>
      <c r="E83" s="2"/>
      <c r="F83" s="2"/>
    </row>
    <row r="84">
      <c r="C84" s="1"/>
      <c r="E84" s="2"/>
      <c r="F84" s="2"/>
    </row>
    <row r="85">
      <c r="C85" s="1"/>
      <c r="E85" s="2"/>
      <c r="F85" s="2"/>
    </row>
    <row r="86">
      <c r="C86" s="1"/>
      <c r="E86" s="2"/>
      <c r="F86" s="2"/>
    </row>
    <row r="87">
      <c r="C87" s="1"/>
      <c r="E87" s="2"/>
      <c r="F87" s="2"/>
    </row>
    <row r="88">
      <c r="C88" s="1"/>
      <c r="E88" s="2"/>
      <c r="F88" s="2"/>
    </row>
    <row r="89">
      <c r="C89" s="1"/>
      <c r="E89" s="2"/>
      <c r="F89" s="2"/>
    </row>
    <row r="90">
      <c r="C90" s="1"/>
      <c r="E90" s="2"/>
      <c r="F90" s="2"/>
    </row>
    <row r="91">
      <c r="C91" s="1"/>
      <c r="E91" s="2"/>
      <c r="F91" s="2"/>
    </row>
    <row r="92">
      <c r="C92" s="1"/>
      <c r="E92" s="2"/>
      <c r="F92" s="2"/>
    </row>
    <row r="93">
      <c r="C93" s="1"/>
      <c r="E93" s="2"/>
      <c r="F93" s="2"/>
    </row>
    <row r="94">
      <c r="C94" s="1"/>
      <c r="E94" s="2"/>
      <c r="F94" s="2"/>
    </row>
    <row r="95">
      <c r="C95" s="1"/>
      <c r="E95" s="2"/>
      <c r="F95" s="2"/>
    </row>
    <row r="96">
      <c r="C96" s="1"/>
      <c r="E96" s="2"/>
      <c r="F96" s="2"/>
    </row>
    <row r="97">
      <c r="C97" s="1"/>
      <c r="E97" s="2"/>
      <c r="F97" s="2"/>
    </row>
    <row r="98">
      <c r="C98" s="1"/>
      <c r="E98" s="2"/>
      <c r="F98" s="2"/>
    </row>
    <row r="99">
      <c r="C99" s="1"/>
      <c r="E99" s="2"/>
      <c r="F99" s="2"/>
    </row>
    <row r="100">
      <c r="C100" s="1"/>
      <c r="E100" s="2"/>
      <c r="F100" s="2"/>
    </row>
    <row r="101">
      <c r="C101" s="1"/>
      <c r="E101" s="2"/>
      <c r="F101" s="2"/>
    </row>
    <row r="102">
      <c r="C102" s="1"/>
      <c r="E102" s="2"/>
      <c r="F102" s="2"/>
    </row>
    <row r="103">
      <c r="C103" s="1"/>
      <c r="E103" s="2"/>
      <c r="F103" s="2"/>
    </row>
    <row r="104">
      <c r="C104" s="1"/>
      <c r="E104" s="2"/>
      <c r="F104" s="2"/>
    </row>
    <row r="105">
      <c r="C105" s="1"/>
      <c r="E105" s="2"/>
      <c r="F105" s="2"/>
    </row>
    <row r="106">
      <c r="C106" s="1"/>
      <c r="E106" s="2"/>
      <c r="F106" s="2"/>
    </row>
    <row r="107">
      <c r="C107" s="1"/>
      <c r="E107" s="2"/>
      <c r="F107" s="2"/>
    </row>
    <row r="108">
      <c r="C108" s="1"/>
      <c r="E108" s="2"/>
      <c r="F108" s="2"/>
    </row>
    <row r="109">
      <c r="C109" s="1"/>
      <c r="E109" s="2"/>
      <c r="F109" s="2"/>
    </row>
    <row r="110">
      <c r="C110" s="1"/>
      <c r="E110" s="2"/>
      <c r="F110" s="2"/>
    </row>
    <row r="111">
      <c r="C111" s="1"/>
      <c r="E111" s="2"/>
      <c r="F111" s="2"/>
    </row>
    <row r="112">
      <c r="C112" s="1"/>
      <c r="E112" s="2"/>
      <c r="F112" s="2"/>
    </row>
    <row r="113">
      <c r="C113" s="1"/>
      <c r="E113" s="2"/>
      <c r="F113" s="2"/>
    </row>
    <row r="114">
      <c r="C114" s="1"/>
      <c r="E114" s="2"/>
      <c r="F114" s="2"/>
    </row>
    <row r="115">
      <c r="C115" s="1"/>
      <c r="E115" s="2"/>
      <c r="F115" s="2"/>
    </row>
    <row r="116">
      <c r="C116" s="1"/>
      <c r="E116" s="2"/>
      <c r="F116" s="2"/>
    </row>
    <row r="117">
      <c r="C117" s="1"/>
      <c r="E117" s="2"/>
      <c r="F117" s="2"/>
    </row>
    <row r="118">
      <c r="C118" s="1"/>
      <c r="E118" s="2"/>
      <c r="F118" s="2"/>
    </row>
    <row r="119">
      <c r="C119" s="1"/>
      <c r="E119" s="2"/>
      <c r="F119" s="2"/>
    </row>
    <row r="120">
      <c r="C120" s="1"/>
      <c r="E120" s="2"/>
      <c r="F120" s="2"/>
    </row>
    <row r="121">
      <c r="C121" s="1"/>
      <c r="E121" s="2"/>
      <c r="F121" s="2"/>
    </row>
    <row r="122">
      <c r="C122" s="1"/>
      <c r="E122" s="2"/>
      <c r="F122" s="2"/>
    </row>
    <row r="123">
      <c r="C123" s="1"/>
      <c r="E123" s="2"/>
      <c r="F123" s="2"/>
    </row>
    <row r="124">
      <c r="C124" s="1"/>
      <c r="E124" s="2"/>
      <c r="F124" s="2"/>
    </row>
    <row r="125">
      <c r="C125" s="1"/>
      <c r="E125" s="2"/>
      <c r="F125" s="2"/>
    </row>
    <row r="126">
      <c r="C126" s="1"/>
      <c r="E126" s="2"/>
      <c r="F126" s="2"/>
    </row>
    <row r="127">
      <c r="C127" s="1"/>
      <c r="E127" s="2"/>
      <c r="F127" s="2"/>
    </row>
    <row r="128">
      <c r="C128" s="1"/>
      <c r="E128" s="2"/>
      <c r="F128" s="2"/>
    </row>
    <row r="129">
      <c r="C129" s="1"/>
      <c r="E129" s="2"/>
      <c r="F129" s="2"/>
    </row>
    <row r="130">
      <c r="C130" s="1"/>
      <c r="E130" s="2"/>
      <c r="F130" s="2"/>
    </row>
    <row r="131">
      <c r="C131" s="1"/>
      <c r="E131" s="2"/>
      <c r="F131" s="2"/>
    </row>
    <row r="132">
      <c r="C132" s="1"/>
      <c r="E132" s="2"/>
      <c r="F132" s="2"/>
    </row>
    <row r="133">
      <c r="C133" s="1"/>
      <c r="E133" s="2"/>
      <c r="F133" s="2"/>
    </row>
    <row r="134">
      <c r="C134" s="1"/>
      <c r="E134" s="2"/>
      <c r="F134" s="2"/>
    </row>
    <row r="135">
      <c r="C135" s="1"/>
      <c r="E135" s="2"/>
      <c r="F135" s="2"/>
    </row>
    <row r="136">
      <c r="C136" s="1"/>
      <c r="E136" s="2"/>
      <c r="F136" s="2"/>
    </row>
    <row r="137">
      <c r="C137" s="1"/>
      <c r="E137" s="2"/>
      <c r="F137" s="2"/>
    </row>
    <row r="138">
      <c r="C138" s="1"/>
      <c r="E138" s="2"/>
      <c r="F138" s="2"/>
    </row>
    <row r="139">
      <c r="C139" s="1"/>
      <c r="E139" s="2"/>
      <c r="F139" s="2"/>
    </row>
    <row r="140">
      <c r="C140" s="1"/>
      <c r="E140" s="2"/>
      <c r="F140" s="2"/>
    </row>
    <row r="141">
      <c r="C141" s="1"/>
      <c r="E141" s="2"/>
      <c r="F141" s="2"/>
    </row>
    <row r="142">
      <c r="C142" s="1"/>
      <c r="E142" s="2"/>
      <c r="F142" s="2"/>
    </row>
    <row r="143">
      <c r="C143" s="1"/>
      <c r="E143" s="2"/>
      <c r="F143" s="2"/>
    </row>
    <row r="144">
      <c r="C144" s="1"/>
      <c r="E144" s="2"/>
      <c r="F144" s="2"/>
    </row>
    <row r="145">
      <c r="C145" s="1"/>
      <c r="E145" s="2"/>
      <c r="F145" s="2"/>
    </row>
    <row r="146">
      <c r="C146" s="1"/>
      <c r="E146" s="2"/>
      <c r="F146" s="2"/>
    </row>
    <row r="147">
      <c r="C147" s="1"/>
      <c r="E147" s="2"/>
      <c r="F147" s="2"/>
    </row>
    <row r="148">
      <c r="C148" s="1"/>
      <c r="E148" s="2"/>
      <c r="F148" s="2"/>
    </row>
    <row r="149">
      <c r="C149" s="1"/>
      <c r="E149" s="2"/>
      <c r="F149" s="2"/>
    </row>
    <row r="150">
      <c r="C150" s="1"/>
      <c r="E150" s="2"/>
      <c r="F150" s="2"/>
    </row>
    <row r="151">
      <c r="C151" s="1"/>
      <c r="E151" s="2"/>
      <c r="F151" s="2"/>
    </row>
    <row r="152">
      <c r="C152" s="1"/>
      <c r="E152" s="2"/>
      <c r="F152" s="2"/>
    </row>
    <row r="153">
      <c r="C153" s="1"/>
      <c r="E153" s="2"/>
      <c r="F153" s="2"/>
    </row>
    <row r="154">
      <c r="C154" s="1"/>
      <c r="E154" s="2"/>
      <c r="F154" s="2"/>
    </row>
    <row r="155">
      <c r="C155" s="1"/>
      <c r="E155" s="2"/>
      <c r="F155" s="2"/>
    </row>
    <row r="156">
      <c r="C156" s="1"/>
      <c r="E156" s="2"/>
      <c r="F156" s="2"/>
    </row>
    <row r="157">
      <c r="C157" s="1"/>
      <c r="E157" s="2"/>
      <c r="F157" s="2"/>
    </row>
    <row r="158">
      <c r="C158" s="1"/>
      <c r="E158" s="2"/>
      <c r="F158" s="2"/>
    </row>
    <row r="159">
      <c r="C159" s="1"/>
      <c r="E159" s="2"/>
      <c r="F159" s="2"/>
    </row>
    <row r="160">
      <c r="C160" s="1"/>
      <c r="E160" s="2"/>
      <c r="F160" s="2"/>
    </row>
    <row r="161">
      <c r="C161" s="1"/>
      <c r="E161" s="2"/>
      <c r="F161" s="2"/>
    </row>
    <row r="162">
      <c r="C162" s="1"/>
      <c r="E162" s="2"/>
      <c r="F162" s="2"/>
    </row>
    <row r="163">
      <c r="C163" s="1"/>
      <c r="E163" s="2"/>
      <c r="F163" s="2"/>
    </row>
    <row r="164">
      <c r="C164" s="1"/>
      <c r="E164" s="2"/>
      <c r="F164" s="2"/>
    </row>
    <row r="165">
      <c r="C165" s="1"/>
      <c r="E165" s="2"/>
      <c r="F165" s="2"/>
    </row>
    <row r="166">
      <c r="C166" s="1"/>
      <c r="E166" s="2"/>
      <c r="F166" s="2"/>
    </row>
    <row r="167">
      <c r="C167" s="1"/>
      <c r="E167" s="2"/>
      <c r="F167" s="2"/>
    </row>
    <row r="168">
      <c r="C168" s="1"/>
      <c r="E168" s="2"/>
      <c r="F168" s="2"/>
    </row>
    <row r="169">
      <c r="C169" s="1"/>
      <c r="E169" s="2"/>
      <c r="F169" s="2"/>
    </row>
    <row r="170">
      <c r="C170" s="1"/>
      <c r="E170" s="2"/>
      <c r="F170" s="2"/>
    </row>
    <row r="171">
      <c r="C171" s="1"/>
      <c r="E171" s="2"/>
      <c r="F171" s="2"/>
    </row>
    <row r="172">
      <c r="C172" s="1"/>
      <c r="E172" s="2"/>
      <c r="F172" s="2"/>
    </row>
    <row r="173">
      <c r="C173" s="1"/>
      <c r="E173" s="2"/>
      <c r="F173" s="2"/>
    </row>
    <row r="174">
      <c r="C174" s="1"/>
      <c r="E174" s="2"/>
      <c r="F174" s="2"/>
    </row>
    <row r="175">
      <c r="C175" s="1"/>
      <c r="E175" s="2"/>
      <c r="F175" s="2"/>
    </row>
    <row r="176">
      <c r="C176" s="1"/>
      <c r="E176" s="2"/>
      <c r="F176" s="2"/>
    </row>
    <row r="177">
      <c r="C177" s="1"/>
      <c r="E177" s="2"/>
      <c r="F177" s="2"/>
    </row>
    <row r="178">
      <c r="C178" s="1"/>
      <c r="E178" s="2"/>
      <c r="F178" s="2"/>
    </row>
    <row r="179">
      <c r="C179" s="1"/>
      <c r="E179" s="2"/>
      <c r="F179" s="2"/>
    </row>
    <row r="180">
      <c r="C180" s="1"/>
      <c r="E180" s="2"/>
      <c r="F180" s="2"/>
    </row>
    <row r="181">
      <c r="C181" s="1"/>
      <c r="E181" s="2"/>
      <c r="F181" s="2"/>
    </row>
    <row r="182">
      <c r="C182" s="1"/>
      <c r="E182" s="2"/>
      <c r="F182" s="2"/>
    </row>
    <row r="183">
      <c r="C183" s="1"/>
      <c r="E183" s="2"/>
      <c r="F183" s="2"/>
    </row>
    <row r="184">
      <c r="C184" s="1"/>
      <c r="E184" s="2"/>
      <c r="F184" s="2"/>
    </row>
    <row r="185">
      <c r="C185" s="1"/>
      <c r="E185" s="2"/>
      <c r="F185" s="2"/>
    </row>
    <row r="186">
      <c r="C186" s="1"/>
      <c r="E186" s="2"/>
      <c r="F186" s="2"/>
    </row>
    <row r="187">
      <c r="C187" s="1"/>
      <c r="E187" s="2"/>
      <c r="F187" s="2"/>
    </row>
    <row r="188">
      <c r="C188" s="1"/>
      <c r="E188" s="2"/>
      <c r="F188" s="2"/>
    </row>
    <row r="189">
      <c r="C189" s="1"/>
      <c r="E189" s="2"/>
      <c r="F189" s="2"/>
    </row>
    <row r="190">
      <c r="C190" s="1"/>
      <c r="E190" s="2"/>
      <c r="F190" s="2"/>
    </row>
    <row r="191">
      <c r="C191" s="1"/>
      <c r="E191" s="2"/>
      <c r="F191" s="2"/>
    </row>
    <row r="192">
      <c r="C192" s="1"/>
      <c r="E192" s="2"/>
      <c r="F192" s="2"/>
    </row>
    <row r="193">
      <c r="C193" s="1"/>
      <c r="E193" s="2"/>
      <c r="F193" s="2"/>
    </row>
    <row r="194">
      <c r="C194" s="1"/>
      <c r="E194" s="2"/>
      <c r="F194" s="2"/>
    </row>
    <row r="195">
      <c r="C195" s="1"/>
      <c r="E195" s="2"/>
      <c r="F195" s="2"/>
    </row>
    <row r="196">
      <c r="C196" s="1"/>
      <c r="E196" s="2"/>
      <c r="F196" s="2"/>
    </row>
    <row r="197">
      <c r="C197" s="1"/>
      <c r="E197" s="2"/>
      <c r="F197" s="2"/>
    </row>
    <row r="198">
      <c r="C198" s="1"/>
      <c r="E198" s="2"/>
      <c r="F198" s="2"/>
    </row>
    <row r="199">
      <c r="C199" s="1"/>
      <c r="E199" s="2"/>
      <c r="F199" s="2"/>
    </row>
    <row r="200">
      <c r="C200" s="1"/>
      <c r="E200" s="2"/>
      <c r="F200" s="2"/>
    </row>
    <row r="201">
      <c r="C201" s="1"/>
      <c r="E201" s="2"/>
      <c r="F201" s="2"/>
    </row>
    <row r="202">
      <c r="C202" s="1"/>
      <c r="E202" s="2"/>
      <c r="F202" s="2"/>
    </row>
    <row r="203">
      <c r="C203" s="1"/>
      <c r="E203" s="2"/>
      <c r="F203" s="2"/>
    </row>
    <row r="204">
      <c r="C204" s="1"/>
      <c r="E204" s="2"/>
      <c r="F204" s="2"/>
    </row>
    <row r="205">
      <c r="C205" s="1"/>
      <c r="E205" s="2"/>
      <c r="F205" s="2"/>
    </row>
    <row r="206">
      <c r="C206" s="1"/>
      <c r="E206" s="2"/>
      <c r="F206" s="2"/>
    </row>
    <row r="207">
      <c r="C207" s="1"/>
      <c r="E207" s="2"/>
      <c r="F207" s="2"/>
    </row>
    <row r="208">
      <c r="C208" s="1"/>
      <c r="E208" s="2"/>
      <c r="F208" s="2"/>
    </row>
    <row r="209">
      <c r="C209" s="1"/>
      <c r="E209" s="2"/>
      <c r="F209" s="2"/>
    </row>
    <row r="210">
      <c r="C210" s="1"/>
      <c r="E210" s="2"/>
      <c r="F210" s="2"/>
    </row>
    <row r="211">
      <c r="C211" s="1"/>
      <c r="E211" s="2"/>
      <c r="F211" s="2"/>
    </row>
    <row r="212">
      <c r="C212" s="1"/>
      <c r="E212" s="2"/>
      <c r="F212" s="2"/>
    </row>
    <row r="213">
      <c r="C213" s="1"/>
      <c r="E213" s="2"/>
      <c r="F213" s="2"/>
    </row>
    <row r="214">
      <c r="C214" s="1"/>
      <c r="E214" s="2"/>
      <c r="F214" s="2"/>
    </row>
    <row r="215">
      <c r="C215" s="1"/>
      <c r="E215" s="2"/>
      <c r="F215" s="2"/>
    </row>
    <row r="216">
      <c r="C216" s="1"/>
      <c r="E216" s="2"/>
      <c r="F216" s="2"/>
    </row>
    <row r="217">
      <c r="C217" s="1"/>
      <c r="E217" s="2"/>
      <c r="F217" s="2"/>
    </row>
    <row r="218">
      <c r="C218" s="1"/>
      <c r="E218" s="2"/>
      <c r="F218" s="2"/>
    </row>
    <row r="219">
      <c r="C219" s="1"/>
      <c r="E219" s="2"/>
      <c r="F219" s="2"/>
    </row>
    <row r="220">
      <c r="C220" s="1"/>
      <c r="E220" s="2"/>
      <c r="F220" s="2"/>
    </row>
    <row r="221">
      <c r="C221" s="1"/>
      <c r="E221" s="2"/>
      <c r="F221" s="2"/>
    </row>
    <row r="222">
      <c r="C222" s="1"/>
      <c r="E222" s="2"/>
      <c r="F222" s="2"/>
    </row>
    <row r="223">
      <c r="C223" s="1"/>
      <c r="E223" s="2"/>
      <c r="F223" s="2"/>
    </row>
    <row r="224">
      <c r="C224" s="1"/>
      <c r="E224" s="2"/>
      <c r="F224" s="2"/>
    </row>
    <row r="225">
      <c r="C225" s="1"/>
      <c r="E225" s="2"/>
      <c r="F225" s="2"/>
    </row>
    <row r="226">
      <c r="C226" s="1"/>
      <c r="E226" s="2"/>
      <c r="F226" s="2"/>
    </row>
    <row r="227">
      <c r="C227" s="1"/>
      <c r="E227" s="2"/>
      <c r="F227" s="2"/>
    </row>
    <row r="228">
      <c r="C228" s="1"/>
      <c r="E228" s="2"/>
      <c r="F228" s="2"/>
    </row>
    <row r="229">
      <c r="C229" s="1"/>
      <c r="E229" s="2"/>
      <c r="F229" s="2"/>
    </row>
    <row r="230">
      <c r="C230" s="1"/>
      <c r="E230" s="2"/>
      <c r="F230" s="2"/>
    </row>
    <row r="231">
      <c r="C231" s="1"/>
      <c r="E231" s="2"/>
      <c r="F231" s="2"/>
    </row>
    <row r="232">
      <c r="C232" s="1"/>
      <c r="E232" s="2"/>
      <c r="F232" s="2"/>
    </row>
    <row r="233">
      <c r="C233" s="1"/>
      <c r="E233" s="2"/>
      <c r="F233" s="2"/>
    </row>
    <row r="234">
      <c r="C234" s="1"/>
      <c r="E234" s="2"/>
      <c r="F234" s="2"/>
    </row>
    <row r="235">
      <c r="C235" s="1"/>
      <c r="E235" s="2"/>
      <c r="F235" s="2"/>
    </row>
    <row r="236">
      <c r="C236" s="1"/>
      <c r="E236" s="2"/>
      <c r="F236" s="2"/>
    </row>
    <row r="237">
      <c r="C237" s="1"/>
      <c r="E237" s="2"/>
      <c r="F237" s="2"/>
    </row>
    <row r="238">
      <c r="C238" s="1"/>
      <c r="E238" s="2"/>
      <c r="F238" s="2"/>
    </row>
    <row r="239">
      <c r="C239" s="1"/>
      <c r="E239" s="2"/>
      <c r="F239" s="2"/>
    </row>
    <row r="240">
      <c r="C240" s="1"/>
      <c r="E240" s="2"/>
      <c r="F240" s="2"/>
    </row>
    <row r="241">
      <c r="C241" s="1"/>
      <c r="E241" s="2"/>
      <c r="F241" s="2"/>
    </row>
    <row r="242">
      <c r="C242" s="1"/>
      <c r="E242" s="2"/>
      <c r="F242" s="2"/>
    </row>
    <row r="243">
      <c r="C243" s="1"/>
      <c r="E243" s="2"/>
      <c r="F243" s="2"/>
    </row>
    <row r="244">
      <c r="C244" s="1"/>
      <c r="E244" s="2"/>
      <c r="F244" s="2"/>
    </row>
    <row r="245">
      <c r="C245" s="1"/>
      <c r="E245" s="2"/>
      <c r="F245" s="2"/>
    </row>
    <row r="246">
      <c r="C246" s="1"/>
      <c r="E246" s="2"/>
      <c r="F246" s="2"/>
    </row>
    <row r="247">
      <c r="C247" s="1"/>
      <c r="E247" s="2"/>
      <c r="F247" s="2"/>
    </row>
    <row r="248">
      <c r="C248" s="1"/>
      <c r="E248" s="2"/>
      <c r="F248" s="2"/>
    </row>
    <row r="249">
      <c r="C249" s="1"/>
      <c r="E249" s="2"/>
      <c r="F249" s="2"/>
    </row>
    <row r="250">
      <c r="C250" s="1"/>
      <c r="E250" s="2"/>
      <c r="F250" s="2"/>
    </row>
    <row r="251">
      <c r="C251" s="1"/>
      <c r="E251" s="2"/>
      <c r="F251" s="2"/>
    </row>
    <row r="252">
      <c r="C252" s="1"/>
      <c r="E252" s="2"/>
      <c r="F252" s="2"/>
    </row>
    <row r="253">
      <c r="C253" s="1"/>
      <c r="E253" s="2"/>
      <c r="F253" s="2"/>
    </row>
    <row r="254">
      <c r="C254" s="1"/>
      <c r="E254" s="2"/>
      <c r="F254" s="2"/>
    </row>
    <row r="255">
      <c r="C255" s="1"/>
      <c r="E255" s="2"/>
      <c r="F255" s="2"/>
    </row>
    <row r="256">
      <c r="C256" s="1"/>
      <c r="E256" s="2"/>
      <c r="F256" s="2"/>
    </row>
    <row r="257">
      <c r="C257" s="1"/>
      <c r="E257" s="2"/>
      <c r="F257" s="2"/>
    </row>
    <row r="258">
      <c r="C258" s="1"/>
      <c r="E258" s="2"/>
      <c r="F258" s="2"/>
    </row>
    <row r="259">
      <c r="C259" s="1"/>
      <c r="E259" s="2"/>
      <c r="F259" s="2"/>
    </row>
    <row r="260">
      <c r="C260" s="1"/>
      <c r="E260" s="2"/>
      <c r="F260" s="2"/>
    </row>
    <row r="261">
      <c r="C261" s="1"/>
      <c r="E261" s="2"/>
      <c r="F261" s="2"/>
    </row>
    <row r="262">
      <c r="C262" s="1"/>
      <c r="E262" s="2"/>
      <c r="F262" s="2"/>
    </row>
    <row r="263">
      <c r="C263" s="1"/>
      <c r="E263" s="2"/>
      <c r="F263" s="2"/>
    </row>
    <row r="264">
      <c r="C264" s="1"/>
      <c r="E264" s="2"/>
      <c r="F264" s="2"/>
    </row>
    <row r="265">
      <c r="C265" s="1"/>
      <c r="E265" s="2"/>
      <c r="F265" s="2"/>
    </row>
    <row r="266">
      <c r="C266" s="1"/>
      <c r="E266" s="2"/>
      <c r="F266" s="2"/>
    </row>
    <row r="267">
      <c r="C267" s="1"/>
      <c r="E267" s="2"/>
      <c r="F267" s="2"/>
    </row>
    <row r="268">
      <c r="C268" s="1"/>
      <c r="E268" s="2"/>
      <c r="F268" s="2"/>
    </row>
    <row r="269">
      <c r="C269" s="1"/>
      <c r="E269" s="2"/>
      <c r="F269" s="2"/>
    </row>
    <row r="270">
      <c r="C270" s="1"/>
      <c r="E270" s="2"/>
      <c r="F270" s="2"/>
    </row>
    <row r="271">
      <c r="C271" s="1"/>
      <c r="E271" s="2"/>
      <c r="F271" s="2"/>
    </row>
    <row r="272">
      <c r="C272" s="1"/>
      <c r="E272" s="2"/>
      <c r="F272" s="2"/>
    </row>
    <row r="273">
      <c r="C273" s="1"/>
      <c r="E273" s="2"/>
      <c r="F273" s="2"/>
    </row>
    <row r="274">
      <c r="C274" s="1"/>
      <c r="E274" s="2"/>
      <c r="F274" s="2"/>
    </row>
    <row r="275">
      <c r="C275" s="1"/>
      <c r="E275" s="2"/>
      <c r="F275" s="2"/>
    </row>
    <row r="276">
      <c r="C276" s="1"/>
      <c r="E276" s="2"/>
      <c r="F276" s="2"/>
    </row>
    <row r="277">
      <c r="C277" s="1"/>
      <c r="E277" s="2"/>
      <c r="F277" s="2"/>
    </row>
    <row r="278">
      <c r="C278" s="1"/>
      <c r="E278" s="2"/>
      <c r="F278" s="2"/>
    </row>
    <row r="279">
      <c r="C279" s="1"/>
      <c r="E279" s="2"/>
      <c r="F279" s="2"/>
    </row>
    <row r="280">
      <c r="C280" s="1"/>
      <c r="E280" s="2"/>
      <c r="F280" s="2"/>
    </row>
    <row r="281">
      <c r="C281" s="1"/>
      <c r="E281" s="2"/>
      <c r="F281" s="2"/>
    </row>
    <row r="282">
      <c r="C282" s="1"/>
      <c r="E282" s="2"/>
      <c r="F282" s="2"/>
    </row>
    <row r="283">
      <c r="C283" s="1"/>
      <c r="E283" s="2"/>
      <c r="F283" s="2"/>
    </row>
    <row r="284">
      <c r="C284" s="1"/>
      <c r="E284" s="2"/>
      <c r="F284" s="2"/>
    </row>
    <row r="285">
      <c r="C285" s="1"/>
      <c r="E285" s="2"/>
      <c r="F285" s="2"/>
    </row>
    <row r="286">
      <c r="C286" s="1"/>
      <c r="E286" s="2"/>
      <c r="F286" s="2"/>
    </row>
    <row r="287">
      <c r="C287" s="1"/>
      <c r="E287" s="2"/>
      <c r="F287" s="2"/>
    </row>
    <row r="288">
      <c r="C288" s="1"/>
      <c r="E288" s="2"/>
      <c r="F288" s="2"/>
    </row>
    <row r="289">
      <c r="C289" s="1"/>
      <c r="E289" s="2"/>
      <c r="F289" s="2"/>
    </row>
    <row r="290">
      <c r="C290" s="1"/>
      <c r="E290" s="2"/>
      <c r="F290" s="2"/>
    </row>
    <row r="291">
      <c r="C291" s="1"/>
      <c r="E291" s="2"/>
      <c r="F291" s="2"/>
    </row>
    <row r="292">
      <c r="C292" s="1"/>
      <c r="E292" s="2"/>
      <c r="F292" s="2"/>
    </row>
    <row r="293">
      <c r="C293" s="1"/>
      <c r="E293" s="2"/>
      <c r="F293" s="2"/>
    </row>
    <row r="294">
      <c r="C294" s="1"/>
      <c r="E294" s="2"/>
      <c r="F294" s="2"/>
    </row>
    <row r="295">
      <c r="C295" s="1"/>
      <c r="E295" s="2"/>
      <c r="F295" s="2"/>
    </row>
    <row r="296">
      <c r="C296" s="1"/>
      <c r="E296" s="2"/>
      <c r="F296" s="2"/>
    </row>
    <row r="297">
      <c r="C297" s="1"/>
      <c r="E297" s="2"/>
      <c r="F297" s="2"/>
    </row>
    <row r="298">
      <c r="C298" s="1"/>
      <c r="E298" s="2"/>
      <c r="F298" s="2"/>
    </row>
    <row r="299">
      <c r="C299" s="1"/>
      <c r="E299" s="2"/>
      <c r="F299" s="2"/>
    </row>
    <row r="300">
      <c r="C300" s="1"/>
      <c r="E300" s="2"/>
      <c r="F300" s="2"/>
    </row>
    <row r="301">
      <c r="C301" s="1"/>
      <c r="E301" s="2"/>
      <c r="F301" s="2"/>
    </row>
    <row r="302">
      <c r="C302" s="1"/>
      <c r="E302" s="2"/>
      <c r="F302" s="2"/>
    </row>
    <row r="303">
      <c r="C303" s="1"/>
      <c r="E303" s="2"/>
      <c r="F303" s="2"/>
    </row>
    <row r="304">
      <c r="C304" s="1"/>
      <c r="E304" s="2"/>
      <c r="F304" s="2"/>
    </row>
    <row r="305">
      <c r="C305" s="1"/>
      <c r="E305" s="2"/>
      <c r="F305" s="2"/>
    </row>
    <row r="306">
      <c r="C306" s="1"/>
      <c r="E306" s="2"/>
      <c r="F306" s="2"/>
    </row>
    <row r="307">
      <c r="C307" s="1"/>
      <c r="E307" s="2"/>
      <c r="F307" s="2"/>
    </row>
    <row r="308">
      <c r="C308" s="1"/>
      <c r="E308" s="2"/>
      <c r="F308" s="2"/>
    </row>
    <row r="309">
      <c r="C309" s="1"/>
      <c r="E309" s="2"/>
      <c r="F309" s="2"/>
    </row>
    <row r="310">
      <c r="C310" s="1"/>
      <c r="E310" s="2"/>
      <c r="F310" s="2"/>
    </row>
    <row r="311">
      <c r="C311" s="1"/>
      <c r="E311" s="2"/>
      <c r="F311" s="2"/>
    </row>
    <row r="312">
      <c r="C312" s="1"/>
      <c r="E312" s="2"/>
      <c r="F312" s="2"/>
    </row>
    <row r="313">
      <c r="C313" s="1"/>
      <c r="E313" s="2"/>
      <c r="F313" s="2"/>
    </row>
    <row r="314">
      <c r="C314" s="1"/>
      <c r="E314" s="2"/>
      <c r="F314" s="2"/>
    </row>
    <row r="315">
      <c r="C315" s="1"/>
      <c r="E315" s="2"/>
      <c r="F315" s="2"/>
    </row>
    <row r="316">
      <c r="C316" s="1"/>
      <c r="E316" s="2"/>
      <c r="F316" s="2"/>
    </row>
    <row r="317">
      <c r="C317" s="1"/>
      <c r="E317" s="2"/>
      <c r="F317" s="2"/>
    </row>
    <row r="318">
      <c r="C318" s="1"/>
      <c r="E318" s="2"/>
      <c r="F318" s="2"/>
    </row>
    <row r="319">
      <c r="C319" s="1"/>
      <c r="E319" s="2"/>
      <c r="F319" s="2"/>
    </row>
    <row r="320">
      <c r="C320" s="1"/>
      <c r="E320" s="2"/>
      <c r="F320" s="2"/>
    </row>
    <row r="321">
      <c r="C321" s="1"/>
      <c r="E321" s="2"/>
      <c r="F321" s="2"/>
    </row>
    <row r="322">
      <c r="C322" s="1"/>
      <c r="E322" s="2"/>
      <c r="F322" s="2"/>
    </row>
    <row r="323">
      <c r="C323" s="1"/>
      <c r="E323" s="2"/>
      <c r="F323" s="2"/>
    </row>
    <row r="324">
      <c r="C324" s="1"/>
      <c r="E324" s="2"/>
      <c r="F324" s="2"/>
    </row>
    <row r="325">
      <c r="C325" s="1"/>
      <c r="E325" s="2"/>
      <c r="F325" s="2"/>
    </row>
    <row r="326">
      <c r="C326" s="1"/>
      <c r="E326" s="2"/>
      <c r="F326" s="2"/>
    </row>
    <row r="327">
      <c r="C327" s="1"/>
      <c r="E327" s="2"/>
      <c r="F327" s="2"/>
    </row>
    <row r="328">
      <c r="C328" s="1"/>
      <c r="E328" s="2"/>
      <c r="F328" s="2"/>
    </row>
    <row r="329">
      <c r="C329" s="1"/>
      <c r="E329" s="2"/>
      <c r="F329" s="2"/>
    </row>
    <row r="330">
      <c r="C330" s="1"/>
      <c r="E330" s="2"/>
      <c r="F330" s="2"/>
    </row>
    <row r="331">
      <c r="C331" s="1"/>
      <c r="E331" s="2"/>
      <c r="F331" s="2"/>
    </row>
    <row r="332">
      <c r="C332" s="1"/>
      <c r="E332" s="2"/>
      <c r="F332" s="2"/>
    </row>
    <row r="333">
      <c r="C333" s="1"/>
      <c r="E333" s="2"/>
      <c r="F333" s="2"/>
    </row>
    <row r="334">
      <c r="C334" s="1"/>
      <c r="E334" s="2"/>
      <c r="F334" s="2"/>
    </row>
    <row r="335">
      <c r="C335" s="1"/>
      <c r="E335" s="2"/>
      <c r="F335" s="2"/>
    </row>
    <row r="336">
      <c r="C336" s="1"/>
      <c r="E336" s="2"/>
      <c r="F336" s="2"/>
    </row>
    <row r="337">
      <c r="C337" s="1"/>
      <c r="E337" s="2"/>
      <c r="F337" s="2"/>
    </row>
    <row r="338">
      <c r="C338" s="1"/>
      <c r="E338" s="2"/>
      <c r="F338" s="2"/>
    </row>
    <row r="339">
      <c r="C339" s="1"/>
      <c r="E339" s="2"/>
      <c r="F339" s="2"/>
    </row>
    <row r="340">
      <c r="C340" s="1"/>
      <c r="E340" s="2"/>
      <c r="F340" s="2"/>
    </row>
    <row r="341">
      <c r="C341" s="1"/>
      <c r="E341" s="2"/>
      <c r="F341" s="2"/>
    </row>
    <row r="342">
      <c r="C342" s="1"/>
      <c r="E342" s="2"/>
      <c r="F342" s="2"/>
    </row>
    <row r="343">
      <c r="C343" s="1"/>
      <c r="E343" s="2"/>
      <c r="F343" s="2"/>
    </row>
    <row r="344">
      <c r="C344" s="1"/>
      <c r="E344" s="2"/>
      <c r="F344" s="2"/>
    </row>
    <row r="345">
      <c r="C345" s="1"/>
      <c r="E345" s="2"/>
      <c r="F345" s="2"/>
    </row>
    <row r="346">
      <c r="C346" s="1"/>
      <c r="E346" s="2"/>
      <c r="F346" s="2"/>
    </row>
    <row r="347">
      <c r="C347" s="1"/>
      <c r="E347" s="2"/>
      <c r="F347" s="2"/>
    </row>
    <row r="348">
      <c r="C348" s="1"/>
      <c r="E348" s="2"/>
      <c r="F348" s="2"/>
    </row>
    <row r="349">
      <c r="C349" s="1"/>
      <c r="E349" s="2"/>
      <c r="F349" s="2"/>
    </row>
    <row r="350">
      <c r="C350" s="1"/>
      <c r="E350" s="2"/>
      <c r="F350" s="2"/>
    </row>
    <row r="351">
      <c r="C351" s="1"/>
      <c r="E351" s="2"/>
      <c r="F351" s="2"/>
    </row>
    <row r="352">
      <c r="C352" s="1"/>
      <c r="E352" s="2"/>
      <c r="F352" s="2"/>
    </row>
    <row r="353">
      <c r="C353" s="1"/>
      <c r="E353" s="2"/>
      <c r="F353" s="2"/>
    </row>
    <row r="354">
      <c r="C354" s="1"/>
      <c r="E354" s="2"/>
      <c r="F354" s="2"/>
    </row>
    <row r="355">
      <c r="C355" s="1"/>
      <c r="E355" s="2"/>
      <c r="F355" s="2"/>
    </row>
    <row r="356">
      <c r="C356" s="1"/>
      <c r="E356" s="2"/>
      <c r="F356" s="2"/>
    </row>
    <row r="357">
      <c r="C357" s="1"/>
      <c r="E357" s="2"/>
      <c r="F357" s="2"/>
    </row>
    <row r="358">
      <c r="C358" s="1"/>
      <c r="E358" s="2"/>
      <c r="F358" s="2"/>
    </row>
    <row r="359">
      <c r="C359" s="1"/>
      <c r="E359" s="2"/>
      <c r="F359" s="2"/>
    </row>
    <row r="360">
      <c r="C360" s="1"/>
      <c r="E360" s="2"/>
      <c r="F360" s="2"/>
    </row>
    <row r="361">
      <c r="C361" s="1"/>
      <c r="E361" s="2"/>
      <c r="F361" s="2"/>
    </row>
    <row r="362">
      <c r="C362" s="1"/>
      <c r="E362" s="2"/>
      <c r="F362" s="2"/>
    </row>
    <row r="363">
      <c r="C363" s="1"/>
      <c r="E363" s="2"/>
      <c r="F363" s="2"/>
    </row>
    <row r="364">
      <c r="C364" s="1"/>
      <c r="E364" s="2"/>
      <c r="F364" s="2"/>
    </row>
    <row r="365">
      <c r="C365" s="1"/>
      <c r="E365" s="2"/>
      <c r="F365" s="2"/>
    </row>
    <row r="366">
      <c r="C366" s="1"/>
      <c r="E366" s="2"/>
      <c r="F366" s="2"/>
    </row>
    <row r="367">
      <c r="C367" s="1"/>
      <c r="E367" s="2"/>
      <c r="F367" s="2"/>
    </row>
    <row r="368">
      <c r="C368" s="1"/>
      <c r="E368" s="2"/>
      <c r="F368" s="2"/>
    </row>
    <row r="369">
      <c r="C369" s="1"/>
      <c r="E369" s="2"/>
      <c r="F369" s="2"/>
    </row>
    <row r="370">
      <c r="C370" s="1"/>
      <c r="E370" s="2"/>
      <c r="F370" s="2"/>
    </row>
    <row r="371">
      <c r="C371" s="1"/>
      <c r="E371" s="2"/>
      <c r="F371" s="2"/>
    </row>
    <row r="372">
      <c r="C372" s="1"/>
      <c r="E372" s="2"/>
      <c r="F372" s="2"/>
    </row>
    <row r="373">
      <c r="C373" s="1"/>
      <c r="E373" s="2"/>
      <c r="F373" s="2"/>
    </row>
    <row r="374">
      <c r="C374" s="1"/>
      <c r="E374" s="2"/>
      <c r="F374" s="2"/>
    </row>
    <row r="375">
      <c r="C375" s="1"/>
      <c r="E375" s="2"/>
      <c r="F375" s="2"/>
    </row>
    <row r="376">
      <c r="C376" s="1"/>
      <c r="E376" s="2"/>
      <c r="F376" s="2"/>
    </row>
    <row r="377">
      <c r="C377" s="1"/>
      <c r="E377" s="2"/>
      <c r="F377" s="2"/>
    </row>
    <row r="378">
      <c r="C378" s="1"/>
      <c r="E378" s="2"/>
      <c r="F378" s="2"/>
    </row>
    <row r="379">
      <c r="C379" s="1"/>
      <c r="E379" s="2"/>
      <c r="F379" s="2"/>
    </row>
    <row r="380">
      <c r="C380" s="1"/>
      <c r="E380" s="2"/>
      <c r="F380" s="2"/>
    </row>
    <row r="381">
      <c r="C381" s="1"/>
      <c r="E381" s="2"/>
      <c r="F381" s="2"/>
    </row>
    <row r="382">
      <c r="C382" s="1"/>
      <c r="E382" s="2"/>
      <c r="F382" s="2"/>
    </row>
    <row r="383">
      <c r="C383" s="1"/>
      <c r="E383" s="2"/>
      <c r="F383" s="2"/>
    </row>
    <row r="384">
      <c r="C384" s="1"/>
      <c r="E384" s="2"/>
      <c r="F384" s="2"/>
    </row>
    <row r="385">
      <c r="C385" s="1"/>
      <c r="E385" s="2"/>
      <c r="F385" s="2"/>
    </row>
    <row r="386">
      <c r="C386" s="1"/>
      <c r="E386" s="2"/>
      <c r="F386" s="2"/>
    </row>
    <row r="387">
      <c r="C387" s="1"/>
      <c r="E387" s="2"/>
      <c r="F387" s="2"/>
    </row>
    <row r="388">
      <c r="C388" s="1"/>
      <c r="E388" s="2"/>
      <c r="F388" s="2"/>
    </row>
    <row r="389">
      <c r="C389" s="1"/>
      <c r="E389" s="2"/>
      <c r="F389" s="2"/>
    </row>
    <row r="390">
      <c r="C390" s="1"/>
      <c r="E390" s="2"/>
      <c r="F390" s="2"/>
    </row>
    <row r="391">
      <c r="C391" s="1"/>
      <c r="E391" s="2"/>
      <c r="F391" s="2"/>
    </row>
    <row r="392">
      <c r="C392" s="1"/>
      <c r="E392" s="2"/>
      <c r="F392" s="2"/>
    </row>
    <row r="393">
      <c r="C393" s="1"/>
      <c r="E393" s="2"/>
      <c r="F393" s="2"/>
    </row>
    <row r="394">
      <c r="C394" s="1"/>
      <c r="E394" s="2"/>
      <c r="F394" s="2"/>
    </row>
    <row r="395">
      <c r="C395" s="1"/>
      <c r="E395" s="2"/>
      <c r="F395" s="2"/>
    </row>
    <row r="396">
      <c r="C396" s="1"/>
      <c r="E396" s="2"/>
      <c r="F396" s="2"/>
    </row>
    <row r="397">
      <c r="C397" s="1"/>
      <c r="E397" s="2"/>
      <c r="F397" s="2"/>
    </row>
    <row r="398">
      <c r="C398" s="1"/>
      <c r="E398" s="2"/>
      <c r="F398" s="2"/>
    </row>
    <row r="399">
      <c r="C399" s="1"/>
      <c r="E399" s="2"/>
      <c r="F399" s="2"/>
    </row>
    <row r="400">
      <c r="C400" s="1"/>
      <c r="E400" s="2"/>
      <c r="F400" s="2"/>
    </row>
    <row r="401">
      <c r="C401" s="1"/>
      <c r="E401" s="2"/>
      <c r="F401" s="2"/>
    </row>
    <row r="402">
      <c r="C402" s="1"/>
      <c r="E402" s="2"/>
      <c r="F402" s="2"/>
    </row>
    <row r="403">
      <c r="C403" s="1"/>
      <c r="E403" s="2"/>
      <c r="F403" s="2"/>
    </row>
    <row r="404">
      <c r="C404" s="1"/>
      <c r="E404" s="2"/>
      <c r="F404" s="2"/>
    </row>
    <row r="405">
      <c r="C405" s="1"/>
      <c r="E405" s="2"/>
      <c r="F405" s="2"/>
    </row>
    <row r="406">
      <c r="C406" s="1"/>
      <c r="E406" s="2"/>
      <c r="F406" s="2"/>
    </row>
    <row r="407">
      <c r="C407" s="1"/>
      <c r="E407" s="2"/>
      <c r="F407" s="2"/>
    </row>
    <row r="408">
      <c r="C408" s="1"/>
      <c r="E408" s="2"/>
      <c r="F408" s="2"/>
    </row>
    <row r="409">
      <c r="C409" s="1"/>
      <c r="E409" s="2"/>
      <c r="F409" s="2"/>
    </row>
    <row r="410">
      <c r="C410" s="1"/>
      <c r="E410" s="2"/>
      <c r="F410" s="2"/>
    </row>
    <row r="411">
      <c r="C411" s="1"/>
      <c r="E411" s="2"/>
      <c r="F411" s="2"/>
    </row>
    <row r="412">
      <c r="C412" s="1"/>
      <c r="E412" s="2"/>
      <c r="F412" s="2"/>
    </row>
    <row r="413">
      <c r="C413" s="1"/>
      <c r="E413" s="2"/>
      <c r="F413" s="2"/>
    </row>
    <row r="414">
      <c r="C414" s="1"/>
      <c r="E414" s="2"/>
      <c r="F414" s="2"/>
    </row>
    <row r="415">
      <c r="C415" s="1"/>
      <c r="E415" s="2"/>
      <c r="F415" s="2"/>
    </row>
    <row r="416">
      <c r="C416" s="1"/>
      <c r="E416" s="2"/>
      <c r="F416" s="2"/>
    </row>
    <row r="417">
      <c r="C417" s="1"/>
      <c r="E417" s="2"/>
      <c r="F417" s="2"/>
    </row>
    <row r="418">
      <c r="C418" s="1"/>
      <c r="E418" s="2"/>
      <c r="F418" s="2"/>
    </row>
    <row r="419">
      <c r="C419" s="1"/>
      <c r="E419" s="2"/>
      <c r="F419" s="2"/>
    </row>
    <row r="420">
      <c r="C420" s="1"/>
      <c r="E420" s="2"/>
      <c r="F420" s="2"/>
    </row>
    <row r="421">
      <c r="C421" s="1"/>
      <c r="E421" s="2"/>
      <c r="F421" s="2"/>
    </row>
    <row r="422">
      <c r="C422" s="1"/>
      <c r="E422" s="2"/>
      <c r="F422" s="2"/>
    </row>
    <row r="423">
      <c r="C423" s="1"/>
      <c r="E423" s="2"/>
      <c r="F423" s="2"/>
    </row>
    <row r="424">
      <c r="C424" s="1"/>
      <c r="E424" s="2"/>
      <c r="F424" s="2"/>
    </row>
    <row r="425">
      <c r="C425" s="1"/>
      <c r="E425" s="2"/>
      <c r="F425" s="2"/>
    </row>
    <row r="426">
      <c r="C426" s="1"/>
      <c r="E426" s="2"/>
      <c r="F426" s="2"/>
    </row>
    <row r="427">
      <c r="C427" s="1"/>
      <c r="E427" s="2"/>
      <c r="F427" s="2"/>
    </row>
    <row r="428">
      <c r="C428" s="1"/>
      <c r="E428" s="2"/>
      <c r="F428" s="2"/>
    </row>
    <row r="429">
      <c r="C429" s="1"/>
      <c r="E429" s="2"/>
      <c r="F429" s="2"/>
    </row>
    <row r="430">
      <c r="C430" s="1"/>
      <c r="E430" s="2"/>
      <c r="F430" s="2"/>
    </row>
    <row r="431">
      <c r="C431" s="1"/>
      <c r="E431" s="2"/>
      <c r="F431" s="2"/>
    </row>
    <row r="432">
      <c r="C432" s="1"/>
      <c r="E432" s="2"/>
      <c r="F432" s="2"/>
    </row>
    <row r="433">
      <c r="C433" s="1"/>
      <c r="E433" s="2"/>
      <c r="F433" s="2"/>
    </row>
    <row r="434">
      <c r="C434" s="1"/>
      <c r="E434" s="2"/>
      <c r="F434" s="2"/>
    </row>
    <row r="435">
      <c r="C435" s="1"/>
      <c r="E435" s="2"/>
      <c r="F435" s="2"/>
    </row>
    <row r="436">
      <c r="C436" s="1"/>
      <c r="E436" s="2"/>
      <c r="F436" s="2"/>
    </row>
    <row r="437">
      <c r="C437" s="1"/>
      <c r="E437" s="2"/>
      <c r="F437" s="2"/>
    </row>
    <row r="438">
      <c r="C438" s="1"/>
      <c r="E438" s="2"/>
      <c r="F438" s="2"/>
    </row>
    <row r="439">
      <c r="C439" s="1"/>
      <c r="E439" s="2"/>
      <c r="F439" s="2"/>
    </row>
    <row r="440">
      <c r="C440" s="1"/>
      <c r="E440" s="2"/>
      <c r="F440" s="2"/>
    </row>
    <row r="441">
      <c r="C441" s="1"/>
      <c r="E441" s="2"/>
      <c r="F441" s="2"/>
    </row>
    <row r="442">
      <c r="C442" s="1"/>
      <c r="E442" s="2"/>
      <c r="F442" s="2"/>
    </row>
    <row r="443">
      <c r="C443" s="1"/>
      <c r="E443" s="2"/>
      <c r="F443" s="2"/>
    </row>
    <row r="444">
      <c r="C444" s="1"/>
      <c r="E444" s="2"/>
      <c r="F444" s="2"/>
    </row>
    <row r="445">
      <c r="C445" s="1"/>
      <c r="E445" s="2"/>
      <c r="F445" s="2"/>
    </row>
    <row r="446">
      <c r="C446" s="1"/>
      <c r="E446" s="2"/>
      <c r="F446" s="2"/>
    </row>
    <row r="447">
      <c r="C447" s="1"/>
      <c r="E447" s="2"/>
      <c r="F447" s="2"/>
    </row>
    <row r="448">
      <c r="C448" s="1"/>
      <c r="E448" s="2"/>
      <c r="F448" s="2"/>
    </row>
    <row r="449">
      <c r="C449" s="1"/>
      <c r="E449" s="2"/>
      <c r="F449" s="2"/>
    </row>
    <row r="450">
      <c r="C450" s="1"/>
      <c r="E450" s="2"/>
      <c r="F450" s="2"/>
    </row>
    <row r="451">
      <c r="C451" s="1"/>
      <c r="E451" s="2"/>
      <c r="F451" s="2"/>
    </row>
    <row r="452">
      <c r="C452" s="1"/>
      <c r="E452" s="2"/>
      <c r="F452" s="2"/>
    </row>
    <row r="453">
      <c r="C453" s="1"/>
      <c r="E453" s="2"/>
      <c r="F453" s="2"/>
    </row>
    <row r="454">
      <c r="C454" s="1"/>
      <c r="E454" s="2"/>
      <c r="F454" s="2"/>
    </row>
    <row r="455">
      <c r="C455" s="1"/>
      <c r="E455" s="2"/>
      <c r="F455" s="2"/>
    </row>
    <row r="456">
      <c r="C456" s="1"/>
      <c r="E456" s="2"/>
      <c r="F456" s="2"/>
    </row>
    <row r="457">
      <c r="C457" s="1"/>
      <c r="E457" s="2"/>
      <c r="F457" s="2"/>
    </row>
    <row r="458">
      <c r="C458" s="1"/>
      <c r="E458" s="2"/>
      <c r="F458" s="2"/>
    </row>
    <row r="459">
      <c r="C459" s="1"/>
      <c r="E459" s="2"/>
      <c r="F459" s="2"/>
    </row>
    <row r="460">
      <c r="C460" s="1"/>
      <c r="E460" s="2"/>
      <c r="F460" s="2"/>
    </row>
    <row r="461">
      <c r="C461" s="1"/>
      <c r="E461" s="2"/>
      <c r="F461" s="2"/>
    </row>
    <row r="462">
      <c r="C462" s="1"/>
      <c r="E462" s="2"/>
      <c r="F462" s="2"/>
    </row>
    <row r="463">
      <c r="C463" s="1"/>
      <c r="E463" s="2"/>
      <c r="F463" s="2"/>
    </row>
    <row r="464">
      <c r="C464" s="1"/>
      <c r="E464" s="2"/>
      <c r="F464" s="2"/>
    </row>
    <row r="465">
      <c r="C465" s="1"/>
      <c r="E465" s="2"/>
      <c r="F465" s="2"/>
    </row>
    <row r="466">
      <c r="C466" s="1"/>
      <c r="E466" s="2"/>
      <c r="F466" s="2"/>
    </row>
    <row r="467">
      <c r="C467" s="1"/>
      <c r="E467" s="2"/>
      <c r="F467" s="2"/>
    </row>
    <row r="468">
      <c r="C468" s="1"/>
      <c r="E468" s="2"/>
      <c r="F468" s="2"/>
    </row>
    <row r="469">
      <c r="C469" s="1"/>
      <c r="E469" s="2"/>
      <c r="F469" s="2"/>
    </row>
    <row r="470">
      <c r="C470" s="1"/>
      <c r="E470" s="2"/>
      <c r="F470" s="2"/>
    </row>
    <row r="471">
      <c r="C471" s="1"/>
      <c r="E471" s="2"/>
      <c r="F471" s="2"/>
    </row>
    <row r="472">
      <c r="C472" s="1"/>
      <c r="E472" s="2"/>
      <c r="F472" s="2"/>
    </row>
    <row r="473">
      <c r="C473" s="1"/>
      <c r="E473" s="2"/>
      <c r="F473" s="2"/>
    </row>
    <row r="474">
      <c r="C474" s="1"/>
      <c r="E474" s="2"/>
      <c r="F474" s="2"/>
    </row>
    <row r="475">
      <c r="C475" s="1"/>
      <c r="E475" s="2"/>
      <c r="F475" s="2"/>
    </row>
    <row r="476">
      <c r="C476" s="1"/>
      <c r="E476" s="2"/>
      <c r="F476" s="2"/>
    </row>
    <row r="477">
      <c r="C477" s="1"/>
      <c r="E477" s="2"/>
      <c r="F477" s="2"/>
    </row>
    <row r="478">
      <c r="C478" s="1"/>
      <c r="E478" s="2"/>
      <c r="F478" s="2"/>
    </row>
    <row r="479">
      <c r="C479" s="1"/>
      <c r="E479" s="2"/>
      <c r="F479" s="2"/>
    </row>
    <row r="480">
      <c r="C480" s="1"/>
      <c r="E480" s="2"/>
      <c r="F480" s="2"/>
    </row>
    <row r="481">
      <c r="C481" s="1"/>
      <c r="E481" s="2"/>
      <c r="F481" s="2"/>
    </row>
    <row r="482">
      <c r="C482" s="1"/>
      <c r="E482" s="2"/>
      <c r="F482" s="2"/>
    </row>
    <row r="483">
      <c r="C483" s="1"/>
      <c r="E483" s="2"/>
      <c r="F483" s="2"/>
    </row>
    <row r="484">
      <c r="C484" s="1"/>
      <c r="E484" s="2"/>
      <c r="F484" s="2"/>
    </row>
    <row r="485">
      <c r="C485" s="1"/>
      <c r="E485" s="2"/>
      <c r="F485" s="2"/>
    </row>
    <row r="486">
      <c r="C486" s="1"/>
      <c r="E486" s="2"/>
      <c r="F486" s="2"/>
    </row>
    <row r="487">
      <c r="C487" s="1"/>
      <c r="E487" s="2"/>
      <c r="F487" s="2"/>
    </row>
    <row r="488">
      <c r="C488" s="1"/>
      <c r="E488" s="2"/>
      <c r="F488" s="2"/>
    </row>
    <row r="489">
      <c r="C489" s="1"/>
      <c r="E489" s="2"/>
      <c r="F489" s="2"/>
    </row>
    <row r="490">
      <c r="C490" s="1"/>
      <c r="E490" s="2"/>
      <c r="F490" s="2"/>
    </row>
    <row r="491">
      <c r="C491" s="1"/>
      <c r="E491" s="2"/>
      <c r="F491" s="2"/>
    </row>
    <row r="492">
      <c r="C492" s="1"/>
      <c r="E492" s="2"/>
      <c r="F492" s="2"/>
    </row>
    <row r="493">
      <c r="C493" s="1"/>
      <c r="E493" s="2"/>
      <c r="F493" s="2"/>
    </row>
    <row r="494">
      <c r="C494" s="1"/>
      <c r="E494" s="2"/>
      <c r="F494" s="2"/>
    </row>
    <row r="495">
      <c r="C495" s="1"/>
      <c r="E495" s="2"/>
      <c r="F495" s="2"/>
    </row>
    <row r="496">
      <c r="C496" s="1"/>
      <c r="E496" s="2"/>
      <c r="F496" s="2"/>
    </row>
    <row r="497">
      <c r="C497" s="1"/>
      <c r="E497" s="2"/>
      <c r="F497" s="2"/>
    </row>
    <row r="498">
      <c r="C498" s="1"/>
      <c r="E498" s="2"/>
      <c r="F498" s="2"/>
    </row>
    <row r="499">
      <c r="C499" s="1"/>
      <c r="E499" s="2"/>
      <c r="F499" s="2"/>
    </row>
    <row r="500">
      <c r="C500" s="1"/>
      <c r="E500" s="2"/>
      <c r="F500" s="2"/>
    </row>
    <row r="501">
      <c r="C501" s="1"/>
      <c r="E501" s="2"/>
      <c r="F501" s="2"/>
    </row>
    <row r="502">
      <c r="C502" s="1"/>
      <c r="E502" s="2"/>
      <c r="F502" s="2"/>
    </row>
    <row r="503">
      <c r="C503" s="1"/>
      <c r="E503" s="2"/>
      <c r="F503" s="2"/>
    </row>
    <row r="504">
      <c r="C504" s="1"/>
      <c r="E504" s="2"/>
      <c r="F504" s="2"/>
    </row>
    <row r="505">
      <c r="C505" s="1"/>
      <c r="E505" s="2"/>
      <c r="F505" s="2"/>
    </row>
    <row r="506">
      <c r="C506" s="1"/>
      <c r="E506" s="2"/>
      <c r="F506" s="2"/>
    </row>
    <row r="507">
      <c r="C507" s="1"/>
      <c r="E507" s="2"/>
      <c r="F507" s="2"/>
    </row>
    <row r="508">
      <c r="C508" s="1"/>
      <c r="E508" s="2"/>
      <c r="F508" s="2"/>
    </row>
    <row r="509">
      <c r="C509" s="1"/>
      <c r="E509" s="2"/>
      <c r="F509" s="2"/>
    </row>
    <row r="510">
      <c r="C510" s="1"/>
      <c r="E510" s="2"/>
      <c r="F510" s="2"/>
    </row>
    <row r="511">
      <c r="C511" s="1"/>
      <c r="E511" s="2"/>
      <c r="F511" s="2"/>
    </row>
    <row r="512">
      <c r="C512" s="1"/>
      <c r="E512" s="2"/>
      <c r="F512" s="2"/>
    </row>
    <row r="513">
      <c r="C513" s="1"/>
      <c r="E513" s="2"/>
      <c r="F513" s="2"/>
    </row>
    <row r="514">
      <c r="C514" s="1"/>
      <c r="E514" s="2"/>
      <c r="F514" s="2"/>
    </row>
    <row r="515">
      <c r="C515" s="1"/>
      <c r="E515" s="2"/>
      <c r="F515" s="2"/>
    </row>
    <row r="516">
      <c r="C516" s="1"/>
      <c r="E516" s="2"/>
      <c r="F516" s="2"/>
    </row>
    <row r="517">
      <c r="C517" s="1"/>
      <c r="E517" s="2"/>
      <c r="F517" s="2"/>
    </row>
    <row r="518">
      <c r="C518" s="1"/>
      <c r="E518" s="2"/>
      <c r="F518" s="2"/>
    </row>
    <row r="519">
      <c r="C519" s="1"/>
      <c r="E519" s="2"/>
      <c r="F519" s="2"/>
    </row>
    <row r="520">
      <c r="C520" s="1"/>
      <c r="E520" s="2"/>
      <c r="F520" s="2"/>
    </row>
    <row r="521">
      <c r="C521" s="1"/>
      <c r="E521" s="2"/>
      <c r="F521" s="2"/>
    </row>
    <row r="522">
      <c r="C522" s="1"/>
      <c r="E522" s="2"/>
      <c r="F522" s="2"/>
    </row>
    <row r="523">
      <c r="C523" s="1"/>
      <c r="E523" s="2"/>
      <c r="F523" s="2"/>
    </row>
    <row r="524">
      <c r="C524" s="1"/>
      <c r="E524" s="2"/>
      <c r="F524" s="2"/>
    </row>
    <row r="525">
      <c r="C525" s="1"/>
      <c r="E525" s="2"/>
      <c r="F525" s="2"/>
    </row>
    <row r="526">
      <c r="C526" s="1"/>
      <c r="E526" s="2"/>
      <c r="F526" s="2"/>
    </row>
    <row r="527">
      <c r="C527" s="1"/>
      <c r="E527" s="2"/>
      <c r="F527" s="2"/>
    </row>
    <row r="528">
      <c r="C528" s="1"/>
      <c r="E528" s="2"/>
      <c r="F528" s="2"/>
    </row>
    <row r="529">
      <c r="C529" s="1"/>
      <c r="E529" s="2"/>
      <c r="F529" s="2"/>
    </row>
    <row r="530">
      <c r="C530" s="1"/>
      <c r="E530" s="2"/>
      <c r="F530" s="2"/>
    </row>
    <row r="531">
      <c r="C531" s="1"/>
      <c r="E531" s="2"/>
      <c r="F531" s="2"/>
    </row>
    <row r="532">
      <c r="C532" s="1"/>
      <c r="E532" s="2"/>
      <c r="F532" s="2"/>
    </row>
    <row r="533">
      <c r="C533" s="1"/>
      <c r="E533" s="2"/>
      <c r="F533" s="2"/>
    </row>
    <row r="534">
      <c r="C534" s="1"/>
      <c r="E534" s="2"/>
      <c r="F534" s="2"/>
    </row>
    <row r="535">
      <c r="C535" s="1"/>
      <c r="E535" s="2"/>
      <c r="F535" s="2"/>
    </row>
    <row r="536">
      <c r="C536" s="1"/>
      <c r="E536" s="2"/>
      <c r="F536" s="2"/>
    </row>
    <row r="537">
      <c r="C537" s="1"/>
      <c r="E537" s="2"/>
      <c r="F537" s="2"/>
    </row>
    <row r="538">
      <c r="C538" s="1"/>
      <c r="E538" s="2"/>
      <c r="F538" s="2"/>
    </row>
    <row r="539">
      <c r="C539" s="1"/>
      <c r="E539" s="2"/>
      <c r="F539" s="2"/>
    </row>
    <row r="540">
      <c r="C540" s="1"/>
      <c r="E540" s="2"/>
      <c r="F540" s="2"/>
    </row>
    <row r="541">
      <c r="C541" s="1"/>
      <c r="E541" s="2"/>
      <c r="F541" s="2"/>
    </row>
    <row r="542">
      <c r="C542" s="1"/>
      <c r="E542" s="2"/>
      <c r="F542" s="2"/>
    </row>
    <row r="543">
      <c r="C543" s="1"/>
      <c r="E543" s="2"/>
      <c r="F543" s="2"/>
    </row>
    <row r="544">
      <c r="C544" s="1"/>
      <c r="E544" s="2"/>
      <c r="F544" s="2"/>
    </row>
    <row r="545">
      <c r="C545" s="1"/>
      <c r="E545" s="2"/>
      <c r="F545" s="2"/>
    </row>
    <row r="546">
      <c r="C546" s="1"/>
      <c r="E546" s="2"/>
      <c r="F546" s="2"/>
    </row>
    <row r="547">
      <c r="C547" s="1"/>
      <c r="E547" s="2"/>
      <c r="F547" s="2"/>
    </row>
    <row r="548">
      <c r="C548" s="1"/>
      <c r="E548" s="2"/>
      <c r="F548" s="2"/>
    </row>
    <row r="549">
      <c r="C549" s="1"/>
      <c r="E549" s="2"/>
      <c r="F549" s="2"/>
    </row>
    <row r="550">
      <c r="C550" s="1"/>
      <c r="E550" s="2"/>
      <c r="F550" s="2"/>
    </row>
    <row r="551">
      <c r="C551" s="1"/>
      <c r="E551" s="2"/>
      <c r="F551" s="2"/>
    </row>
    <row r="552">
      <c r="C552" s="1"/>
      <c r="E552" s="2"/>
      <c r="F552" s="2"/>
    </row>
    <row r="553">
      <c r="C553" s="1"/>
      <c r="E553" s="2"/>
      <c r="F553" s="2"/>
    </row>
    <row r="554">
      <c r="C554" s="1"/>
      <c r="E554" s="2"/>
      <c r="F554" s="2"/>
    </row>
    <row r="555">
      <c r="C555" s="1"/>
      <c r="E555" s="2"/>
      <c r="F555" s="2"/>
    </row>
    <row r="556">
      <c r="C556" s="1"/>
      <c r="E556" s="2"/>
      <c r="F556" s="2"/>
    </row>
    <row r="557">
      <c r="C557" s="1"/>
      <c r="E557" s="2"/>
      <c r="F557" s="2"/>
    </row>
    <row r="558">
      <c r="C558" s="1"/>
      <c r="E558" s="2"/>
      <c r="F558" s="2"/>
    </row>
    <row r="559">
      <c r="C559" s="1"/>
      <c r="E559" s="2"/>
      <c r="F559" s="2"/>
    </row>
    <row r="560">
      <c r="C560" s="1"/>
      <c r="E560" s="2"/>
      <c r="F560" s="2"/>
    </row>
    <row r="561">
      <c r="C561" s="1"/>
      <c r="E561" s="2"/>
      <c r="F561" s="2"/>
    </row>
    <row r="562">
      <c r="C562" s="1"/>
      <c r="E562" s="2"/>
      <c r="F562" s="2"/>
    </row>
    <row r="563">
      <c r="C563" s="1"/>
      <c r="E563" s="2"/>
      <c r="F563" s="2"/>
    </row>
    <row r="564">
      <c r="C564" s="1"/>
      <c r="E564" s="2"/>
      <c r="F564" s="2"/>
    </row>
    <row r="565">
      <c r="C565" s="1"/>
      <c r="E565" s="2"/>
      <c r="F565" s="2"/>
    </row>
    <row r="566">
      <c r="C566" s="1"/>
      <c r="E566" s="2"/>
      <c r="F566" s="2"/>
    </row>
    <row r="567">
      <c r="C567" s="1"/>
      <c r="E567" s="2"/>
      <c r="F567" s="2"/>
    </row>
    <row r="568">
      <c r="C568" s="1"/>
      <c r="E568" s="2"/>
      <c r="F568" s="2"/>
    </row>
    <row r="569">
      <c r="C569" s="1"/>
      <c r="E569" s="2"/>
      <c r="F569" s="2"/>
    </row>
    <row r="570">
      <c r="C570" s="1"/>
      <c r="E570" s="2"/>
      <c r="F570" s="2"/>
    </row>
    <row r="571">
      <c r="C571" s="1"/>
      <c r="E571" s="2"/>
      <c r="F571" s="2"/>
    </row>
    <row r="572">
      <c r="C572" s="1"/>
      <c r="E572" s="2"/>
      <c r="F572" s="2"/>
    </row>
    <row r="573">
      <c r="C573" s="1"/>
      <c r="E573" s="2"/>
      <c r="F573" s="2"/>
    </row>
    <row r="574">
      <c r="C574" s="1"/>
      <c r="E574" s="2"/>
      <c r="F574" s="2"/>
    </row>
    <row r="575">
      <c r="C575" s="1"/>
      <c r="E575" s="2"/>
      <c r="F575" s="2"/>
    </row>
    <row r="576">
      <c r="C576" s="1"/>
      <c r="E576" s="2"/>
      <c r="F576" s="2"/>
    </row>
    <row r="577">
      <c r="C577" s="1"/>
      <c r="E577" s="2"/>
      <c r="F577" s="2"/>
    </row>
    <row r="578">
      <c r="C578" s="1"/>
      <c r="E578" s="2"/>
      <c r="F578" s="2"/>
    </row>
    <row r="579">
      <c r="C579" s="1"/>
      <c r="E579" s="2"/>
      <c r="F579" s="2"/>
    </row>
    <row r="580">
      <c r="C580" s="1"/>
      <c r="E580" s="2"/>
      <c r="F580" s="2"/>
    </row>
    <row r="581">
      <c r="C581" s="1"/>
      <c r="E581" s="2"/>
      <c r="F581" s="2"/>
    </row>
    <row r="582">
      <c r="C582" s="1"/>
      <c r="E582" s="2"/>
      <c r="F582" s="2"/>
    </row>
    <row r="583">
      <c r="C583" s="1"/>
      <c r="E583" s="2"/>
      <c r="F583" s="2"/>
    </row>
    <row r="584">
      <c r="C584" s="1"/>
      <c r="E584" s="2"/>
      <c r="F584" s="2"/>
    </row>
    <row r="585">
      <c r="C585" s="1"/>
      <c r="E585" s="2"/>
      <c r="F585" s="2"/>
    </row>
    <row r="586">
      <c r="C586" s="1"/>
      <c r="E586" s="2"/>
      <c r="F586" s="2"/>
    </row>
    <row r="587">
      <c r="C587" s="1"/>
      <c r="E587" s="2"/>
      <c r="F587" s="2"/>
    </row>
    <row r="588">
      <c r="C588" s="1"/>
      <c r="E588" s="2"/>
      <c r="F588" s="2"/>
    </row>
    <row r="589">
      <c r="C589" s="1"/>
      <c r="E589" s="2"/>
      <c r="F589" s="2"/>
    </row>
    <row r="590">
      <c r="C590" s="1"/>
      <c r="E590" s="2"/>
      <c r="F590" s="2"/>
    </row>
    <row r="591">
      <c r="C591" s="1"/>
      <c r="E591" s="2"/>
      <c r="F591" s="2"/>
    </row>
    <row r="592">
      <c r="C592" s="1"/>
      <c r="E592" s="2"/>
      <c r="F592" s="2"/>
    </row>
    <row r="593">
      <c r="C593" s="1"/>
      <c r="E593" s="2"/>
      <c r="F593" s="2"/>
    </row>
    <row r="594">
      <c r="C594" s="1"/>
      <c r="E594" s="2"/>
      <c r="F594" s="2"/>
    </row>
    <row r="595">
      <c r="C595" s="1"/>
      <c r="E595" s="2"/>
      <c r="F595" s="2"/>
    </row>
    <row r="596">
      <c r="C596" s="1"/>
      <c r="E596" s="2"/>
      <c r="F596" s="2"/>
    </row>
    <row r="597">
      <c r="C597" s="1"/>
      <c r="E597" s="2"/>
      <c r="F597" s="2"/>
    </row>
    <row r="598">
      <c r="C598" s="1"/>
      <c r="E598" s="2"/>
      <c r="F598" s="2"/>
    </row>
    <row r="599">
      <c r="C599" s="1"/>
      <c r="E599" s="2"/>
      <c r="F599" s="2"/>
    </row>
    <row r="600">
      <c r="C600" s="1"/>
      <c r="E600" s="2"/>
      <c r="F600" s="2"/>
    </row>
    <row r="601">
      <c r="C601" s="1"/>
      <c r="E601" s="2"/>
      <c r="F601" s="2"/>
    </row>
    <row r="602">
      <c r="C602" s="1"/>
      <c r="E602" s="2"/>
      <c r="F602" s="2"/>
    </row>
    <row r="603">
      <c r="C603" s="1"/>
      <c r="E603" s="2"/>
      <c r="F603" s="2"/>
    </row>
    <row r="604">
      <c r="C604" s="1"/>
      <c r="E604" s="2"/>
      <c r="F604" s="2"/>
    </row>
    <row r="605">
      <c r="C605" s="1"/>
      <c r="E605" s="2"/>
      <c r="F605" s="2"/>
    </row>
    <row r="606">
      <c r="C606" s="1"/>
      <c r="E606" s="2"/>
      <c r="F606" s="2"/>
    </row>
    <row r="607">
      <c r="C607" s="1"/>
      <c r="E607" s="2"/>
      <c r="F607" s="2"/>
    </row>
    <row r="608">
      <c r="C608" s="1"/>
      <c r="E608" s="2"/>
      <c r="F608" s="2"/>
    </row>
    <row r="609">
      <c r="C609" s="1"/>
      <c r="E609" s="2"/>
      <c r="F609" s="2"/>
    </row>
    <row r="610">
      <c r="C610" s="1"/>
      <c r="E610" s="2"/>
      <c r="F610" s="2"/>
    </row>
    <row r="611">
      <c r="C611" s="1"/>
      <c r="E611" s="2"/>
      <c r="F611" s="2"/>
    </row>
    <row r="612">
      <c r="C612" s="1"/>
      <c r="E612" s="2"/>
      <c r="F612" s="2"/>
    </row>
    <row r="613">
      <c r="C613" s="1"/>
      <c r="E613" s="2"/>
      <c r="F613" s="2"/>
    </row>
    <row r="614">
      <c r="C614" s="1"/>
      <c r="E614" s="2"/>
      <c r="F614" s="2"/>
    </row>
    <row r="615">
      <c r="C615" s="1"/>
      <c r="E615" s="2"/>
      <c r="F615" s="2"/>
    </row>
    <row r="616">
      <c r="C616" s="1"/>
      <c r="E616" s="2"/>
      <c r="F616" s="2"/>
    </row>
    <row r="617">
      <c r="C617" s="1"/>
      <c r="E617" s="2"/>
      <c r="F617" s="2"/>
    </row>
    <row r="618">
      <c r="C618" s="1"/>
      <c r="E618" s="2"/>
      <c r="F618" s="2"/>
    </row>
    <row r="619">
      <c r="C619" s="1"/>
      <c r="E619" s="2"/>
      <c r="F619" s="2"/>
    </row>
    <row r="620">
      <c r="C620" s="1"/>
      <c r="E620" s="2"/>
      <c r="F620" s="2"/>
    </row>
    <row r="621">
      <c r="C621" s="1"/>
      <c r="E621" s="2"/>
      <c r="F621" s="2"/>
    </row>
    <row r="622">
      <c r="C622" s="1"/>
      <c r="E622" s="2"/>
      <c r="F622" s="2"/>
    </row>
    <row r="623">
      <c r="C623" s="1"/>
      <c r="E623" s="2"/>
      <c r="F623" s="2"/>
    </row>
    <row r="624">
      <c r="C624" s="1"/>
      <c r="E624" s="2"/>
      <c r="F624" s="2"/>
    </row>
    <row r="625">
      <c r="C625" s="1"/>
      <c r="E625" s="2"/>
      <c r="F625" s="2"/>
    </row>
    <row r="626">
      <c r="C626" s="1"/>
      <c r="E626" s="2"/>
      <c r="F626" s="2"/>
    </row>
    <row r="627">
      <c r="C627" s="1"/>
      <c r="E627" s="2"/>
      <c r="F627" s="2"/>
    </row>
    <row r="628">
      <c r="C628" s="1"/>
      <c r="E628" s="2"/>
      <c r="F628" s="2"/>
    </row>
    <row r="629">
      <c r="C629" s="1"/>
      <c r="E629" s="2"/>
      <c r="F629" s="2"/>
    </row>
    <row r="630">
      <c r="C630" s="1"/>
      <c r="E630" s="2"/>
      <c r="F630" s="2"/>
    </row>
    <row r="631">
      <c r="C631" s="1"/>
      <c r="E631" s="2"/>
      <c r="F631" s="2"/>
    </row>
    <row r="632">
      <c r="C632" s="1"/>
      <c r="E632" s="2"/>
      <c r="F632" s="2"/>
    </row>
    <row r="633">
      <c r="C633" s="1"/>
      <c r="E633" s="2"/>
      <c r="F633" s="2"/>
    </row>
    <row r="634">
      <c r="C634" s="1"/>
      <c r="E634" s="2"/>
      <c r="F634" s="2"/>
    </row>
    <row r="635">
      <c r="C635" s="1"/>
      <c r="E635" s="2"/>
      <c r="F635" s="2"/>
    </row>
    <row r="636">
      <c r="C636" s="1"/>
      <c r="E636" s="2"/>
      <c r="F636" s="2"/>
    </row>
    <row r="637">
      <c r="C637" s="1"/>
      <c r="E637" s="2"/>
      <c r="F637" s="2"/>
    </row>
    <row r="638">
      <c r="C638" s="1"/>
      <c r="E638" s="2"/>
      <c r="F638" s="2"/>
    </row>
    <row r="639">
      <c r="C639" s="1"/>
      <c r="E639" s="2"/>
      <c r="F639" s="2"/>
    </row>
    <row r="640">
      <c r="C640" s="1"/>
      <c r="E640" s="2"/>
      <c r="F640" s="2"/>
    </row>
    <row r="641">
      <c r="C641" s="1"/>
      <c r="E641" s="2"/>
      <c r="F641" s="2"/>
    </row>
    <row r="642">
      <c r="C642" s="1"/>
      <c r="E642" s="2"/>
      <c r="F642" s="2"/>
    </row>
    <row r="643">
      <c r="C643" s="1"/>
      <c r="E643" s="2"/>
      <c r="F643" s="2"/>
    </row>
    <row r="644">
      <c r="C644" s="1"/>
      <c r="E644" s="2"/>
      <c r="F644" s="2"/>
    </row>
    <row r="645">
      <c r="C645" s="1"/>
      <c r="E645" s="2"/>
      <c r="F645" s="2"/>
    </row>
    <row r="646">
      <c r="C646" s="1"/>
      <c r="E646" s="2"/>
      <c r="F646" s="2"/>
    </row>
    <row r="647">
      <c r="C647" s="1"/>
      <c r="E647" s="2"/>
      <c r="F647" s="2"/>
    </row>
    <row r="648">
      <c r="C648" s="1"/>
      <c r="E648" s="2"/>
      <c r="F648" s="2"/>
    </row>
    <row r="649">
      <c r="C649" s="1"/>
      <c r="E649" s="2"/>
      <c r="F649" s="2"/>
    </row>
    <row r="650">
      <c r="C650" s="1"/>
      <c r="E650" s="2"/>
      <c r="F650" s="2"/>
    </row>
    <row r="651">
      <c r="C651" s="1"/>
      <c r="E651" s="2"/>
      <c r="F651" s="2"/>
    </row>
    <row r="652">
      <c r="C652" s="1"/>
      <c r="E652" s="2"/>
      <c r="F652" s="2"/>
    </row>
    <row r="653">
      <c r="C653" s="1"/>
      <c r="E653" s="2"/>
      <c r="F653" s="2"/>
    </row>
    <row r="654">
      <c r="C654" s="1"/>
      <c r="E654" s="2"/>
      <c r="F654" s="2"/>
    </row>
    <row r="655">
      <c r="C655" s="1"/>
      <c r="E655" s="2"/>
      <c r="F655" s="2"/>
    </row>
    <row r="656">
      <c r="C656" s="1"/>
      <c r="E656" s="2"/>
      <c r="F656" s="2"/>
    </row>
    <row r="657">
      <c r="C657" s="1"/>
      <c r="E657" s="2"/>
      <c r="F657" s="2"/>
    </row>
    <row r="658">
      <c r="C658" s="1"/>
      <c r="E658" s="2"/>
      <c r="F658" s="2"/>
    </row>
    <row r="659">
      <c r="C659" s="1"/>
      <c r="E659" s="2"/>
      <c r="F659" s="2"/>
    </row>
    <row r="660">
      <c r="C660" s="1"/>
      <c r="E660" s="2"/>
      <c r="F660" s="2"/>
    </row>
    <row r="661">
      <c r="C661" s="1"/>
      <c r="E661" s="2"/>
      <c r="F661" s="2"/>
    </row>
    <row r="662">
      <c r="C662" s="1"/>
      <c r="E662" s="2"/>
      <c r="F662" s="2"/>
    </row>
    <row r="663">
      <c r="C663" s="1"/>
      <c r="E663" s="2"/>
      <c r="F663" s="2"/>
    </row>
    <row r="664">
      <c r="C664" s="1"/>
      <c r="E664" s="2"/>
      <c r="F664" s="2"/>
    </row>
    <row r="665">
      <c r="C665" s="1"/>
      <c r="E665" s="2"/>
      <c r="F665" s="2"/>
    </row>
    <row r="666">
      <c r="C666" s="1"/>
      <c r="E666" s="2"/>
      <c r="F666" s="2"/>
    </row>
    <row r="667">
      <c r="C667" s="1"/>
      <c r="E667" s="2"/>
      <c r="F667" s="2"/>
    </row>
    <row r="668">
      <c r="C668" s="1"/>
      <c r="E668" s="2"/>
      <c r="F668" s="2"/>
    </row>
    <row r="669">
      <c r="C669" s="1"/>
      <c r="E669" s="2"/>
      <c r="F669" s="2"/>
    </row>
    <row r="670">
      <c r="C670" s="1"/>
      <c r="E670" s="2"/>
      <c r="F670" s="2"/>
    </row>
    <row r="671">
      <c r="C671" s="1"/>
      <c r="E671" s="2"/>
      <c r="F671" s="2"/>
    </row>
    <row r="672">
      <c r="C672" s="1"/>
      <c r="E672" s="2"/>
      <c r="F672" s="2"/>
    </row>
    <row r="673">
      <c r="C673" s="1"/>
      <c r="E673" s="2"/>
      <c r="F673" s="2"/>
    </row>
    <row r="674">
      <c r="C674" s="1"/>
      <c r="E674" s="2"/>
      <c r="F674" s="2"/>
    </row>
    <row r="675">
      <c r="C675" s="1"/>
      <c r="E675" s="2"/>
      <c r="F675" s="2"/>
    </row>
    <row r="676">
      <c r="C676" s="1"/>
      <c r="E676" s="2"/>
      <c r="F676" s="2"/>
    </row>
    <row r="677">
      <c r="C677" s="1"/>
      <c r="E677" s="2"/>
      <c r="F677" s="2"/>
    </row>
    <row r="678">
      <c r="C678" s="1"/>
      <c r="E678" s="2"/>
      <c r="F678" s="2"/>
    </row>
    <row r="679">
      <c r="C679" s="1"/>
      <c r="E679" s="2"/>
      <c r="F679" s="2"/>
    </row>
    <row r="680">
      <c r="C680" s="1"/>
      <c r="E680" s="2"/>
      <c r="F680" s="2"/>
    </row>
    <row r="681">
      <c r="C681" s="1"/>
      <c r="E681" s="2"/>
      <c r="F681" s="2"/>
    </row>
    <row r="682">
      <c r="C682" s="1"/>
      <c r="E682" s="2"/>
      <c r="F682" s="2"/>
    </row>
    <row r="683">
      <c r="C683" s="1"/>
      <c r="E683" s="2"/>
      <c r="F683" s="2"/>
    </row>
    <row r="684">
      <c r="C684" s="1"/>
      <c r="E684" s="2"/>
      <c r="F684" s="2"/>
    </row>
    <row r="685">
      <c r="C685" s="1"/>
      <c r="E685" s="2"/>
      <c r="F685" s="2"/>
    </row>
    <row r="686">
      <c r="C686" s="1"/>
      <c r="E686" s="2"/>
      <c r="F686" s="2"/>
    </row>
    <row r="687">
      <c r="C687" s="1"/>
      <c r="E687" s="2"/>
      <c r="F687" s="2"/>
    </row>
    <row r="688">
      <c r="C688" s="1"/>
      <c r="E688" s="2"/>
      <c r="F688" s="2"/>
    </row>
    <row r="689">
      <c r="C689" s="1"/>
      <c r="E689" s="2"/>
      <c r="F689" s="2"/>
    </row>
    <row r="690">
      <c r="C690" s="1"/>
      <c r="E690" s="2"/>
      <c r="F690" s="2"/>
    </row>
    <row r="691">
      <c r="C691" s="1"/>
      <c r="E691" s="2"/>
      <c r="F691" s="2"/>
    </row>
    <row r="692">
      <c r="C692" s="1"/>
      <c r="E692" s="2"/>
      <c r="F692" s="2"/>
    </row>
    <row r="693">
      <c r="C693" s="1"/>
      <c r="E693" s="2"/>
      <c r="F693" s="2"/>
    </row>
    <row r="694">
      <c r="C694" s="1"/>
      <c r="E694" s="2"/>
      <c r="F694" s="2"/>
    </row>
    <row r="695">
      <c r="C695" s="1"/>
      <c r="E695" s="2"/>
      <c r="F695" s="2"/>
    </row>
    <row r="696">
      <c r="C696" s="1"/>
      <c r="E696" s="2"/>
      <c r="F696" s="2"/>
    </row>
    <row r="697">
      <c r="C697" s="1"/>
      <c r="E697" s="2"/>
      <c r="F697" s="2"/>
    </row>
    <row r="698">
      <c r="C698" s="1"/>
      <c r="E698" s="2"/>
      <c r="F698" s="2"/>
    </row>
    <row r="699">
      <c r="C699" s="1"/>
      <c r="E699" s="2"/>
      <c r="F699" s="2"/>
    </row>
    <row r="700">
      <c r="C700" s="1"/>
      <c r="E700" s="2"/>
      <c r="F700" s="2"/>
    </row>
    <row r="701">
      <c r="C701" s="1"/>
      <c r="E701" s="2"/>
      <c r="F701" s="2"/>
    </row>
    <row r="702">
      <c r="C702" s="1"/>
      <c r="E702" s="2"/>
      <c r="F702" s="2"/>
    </row>
    <row r="703">
      <c r="C703" s="1"/>
      <c r="E703" s="2"/>
      <c r="F703" s="2"/>
    </row>
    <row r="704">
      <c r="C704" s="1"/>
      <c r="E704" s="2"/>
      <c r="F704" s="2"/>
    </row>
    <row r="705">
      <c r="C705" s="1"/>
      <c r="E705" s="2"/>
      <c r="F705" s="2"/>
    </row>
    <row r="706">
      <c r="C706" s="1"/>
      <c r="E706" s="2"/>
      <c r="F706" s="2"/>
    </row>
    <row r="707">
      <c r="C707" s="1"/>
      <c r="E707" s="2"/>
      <c r="F707" s="2"/>
    </row>
    <row r="708">
      <c r="C708" s="1"/>
      <c r="E708" s="2"/>
      <c r="F708" s="2"/>
    </row>
    <row r="709">
      <c r="C709" s="1"/>
      <c r="E709" s="2"/>
      <c r="F709" s="2"/>
    </row>
    <row r="710">
      <c r="C710" s="1"/>
      <c r="E710" s="2"/>
      <c r="F710" s="2"/>
    </row>
    <row r="711">
      <c r="C711" s="1"/>
      <c r="E711" s="2"/>
      <c r="F711" s="2"/>
    </row>
    <row r="712">
      <c r="C712" s="1"/>
      <c r="E712" s="2"/>
      <c r="F712" s="2"/>
    </row>
    <row r="713">
      <c r="C713" s="1"/>
      <c r="E713" s="2"/>
      <c r="F713" s="2"/>
    </row>
    <row r="714">
      <c r="C714" s="1"/>
      <c r="E714" s="2"/>
      <c r="F714" s="2"/>
    </row>
    <row r="715">
      <c r="C715" s="1"/>
      <c r="E715" s="2"/>
      <c r="F715" s="2"/>
    </row>
    <row r="716">
      <c r="C716" s="1"/>
      <c r="E716" s="2"/>
      <c r="F716" s="2"/>
    </row>
    <row r="717">
      <c r="C717" s="1"/>
      <c r="E717" s="2"/>
      <c r="F717" s="2"/>
    </row>
    <row r="718">
      <c r="C718" s="1"/>
      <c r="E718" s="2"/>
      <c r="F718" s="2"/>
    </row>
    <row r="719">
      <c r="C719" s="1"/>
      <c r="E719" s="2"/>
      <c r="F719" s="2"/>
    </row>
    <row r="720">
      <c r="C720" s="1"/>
      <c r="E720" s="2"/>
      <c r="F720" s="2"/>
    </row>
    <row r="721">
      <c r="C721" s="1"/>
      <c r="E721" s="2"/>
      <c r="F721" s="2"/>
    </row>
    <row r="722">
      <c r="C722" s="1"/>
      <c r="E722" s="2"/>
      <c r="F722" s="2"/>
    </row>
    <row r="723">
      <c r="C723" s="1"/>
      <c r="E723" s="2"/>
      <c r="F723" s="2"/>
    </row>
    <row r="724">
      <c r="C724" s="1"/>
      <c r="E724" s="2"/>
      <c r="F724" s="2"/>
    </row>
    <row r="725">
      <c r="C725" s="1"/>
      <c r="E725" s="2"/>
      <c r="F725" s="2"/>
    </row>
    <row r="726">
      <c r="C726" s="1"/>
      <c r="E726" s="2"/>
      <c r="F726" s="2"/>
    </row>
    <row r="727">
      <c r="C727" s="1"/>
      <c r="E727" s="2"/>
      <c r="F727" s="2"/>
    </row>
    <row r="728">
      <c r="C728" s="1"/>
      <c r="E728" s="2"/>
      <c r="F728" s="2"/>
    </row>
    <row r="729">
      <c r="C729" s="1"/>
      <c r="E729" s="2"/>
      <c r="F729" s="2"/>
    </row>
    <row r="730">
      <c r="C730" s="1"/>
      <c r="E730" s="2"/>
      <c r="F730" s="2"/>
    </row>
    <row r="731">
      <c r="C731" s="1"/>
      <c r="E731" s="2"/>
      <c r="F731" s="2"/>
    </row>
    <row r="732">
      <c r="C732" s="1"/>
      <c r="E732" s="2"/>
      <c r="F732" s="2"/>
    </row>
    <row r="733">
      <c r="C733" s="1"/>
      <c r="E733" s="2"/>
      <c r="F733" s="2"/>
    </row>
    <row r="734">
      <c r="C734" s="1"/>
      <c r="E734" s="2"/>
      <c r="F734" s="2"/>
    </row>
    <row r="735">
      <c r="C735" s="1"/>
      <c r="E735" s="2"/>
      <c r="F735" s="2"/>
    </row>
    <row r="736">
      <c r="C736" s="1"/>
      <c r="E736" s="2"/>
      <c r="F736" s="2"/>
    </row>
    <row r="737">
      <c r="C737" s="1"/>
      <c r="E737" s="2"/>
      <c r="F737" s="2"/>
    </row>
    <row r="738">
      <c r="C738" s="1"/>
      <c r="E738" s="2"/>
      <c r="F738" s="2"/>
    </row>
    <row r="739">
      <c r="C739" s="1"/>
      <c r="E739" s="2"/>
      <c r="F739" s="2"/>
    </row>
    <row r="740">
      <c r="C740" s="1"/>
      <c r="E740" s="2"/>
      <c r="F740" s="2"/>
    </row>
    <row r="741">
      <c r="C741" s="1"/>
      <c r="E741" s="2"/>
      <c r="F741" s="2"/>
    </row>
    <row r="742">
      <c r="C742" s="1"/>
      <c r="E742" s="2"/>
      <c r="F742" s="2"/>
    </row>
    <row r="743">
      <c r="C743" s="1"/>
      <c r="E743" s="2"/>
      <c r="F743" s="2"/>
    </row>
    <row r="744">
      <c r="C744" s="1"/>
      <c r="E744" s="2"/>
      <c r="F744" s="2"/>
    </row>
    <row r="745">
      <c r="C745" s="1"/>
      <c r="E745" s="2"/>
      <c r="F745" s="2"/>
    </row>
    <row r="746">
      <c r="C746" s="1"/>
      <c r="E746" s="2"/>
      <c r="F746" s="2"/>
    </row>
    <row r="747">
      <c r="C747" s="1"/>
      <c r="E747" s="2"/>
      <c r="F747" s="2"/>
    </row>
    <row r="748">
      <c r="C748" s="1"/>
      <c r="E748" s="2"/>
      <c r="F748" s="2"/>
    </row>
    <row r="749">
      <c r="C749" s="1"/>
      <c r="E749" s="2"/>
      <c r="F749" s="2"/>
    </row>
    <row r="750">
      <c r="C750" s="1"/>
      <c r="E750" s="2"/>
      <c r="F750" s="2"/>
    </row>
    <row r="751">
      <c r="C751" s="1"/>
      <c r="E751" s="2"/>
      <c r="F751" s="2"/>
    </row>
    <row r="752">
      <c r="C752" s="1"/>
      <c r="E752" s="2"/>
      <c r="F752" s="2"/>
    </row>
    <row r="753">
      <c r="C753" s="1"/>
      <c r="E753" s="2"/>
      <c r="F753" s="2"/>
    </row>
    <row r="754">
      <c r="C754" s="1"/>
      <c r="E754" s="2"/>
      <c r="F754" s="2"/>
    </row>
    <row r="755">
      <c r="C755" s="1"/>
      <c r="E755" s="2"/>
      <c r="F755" s="2"/>
    </row>
    <row r="756">
      <c r="C756" s="1"/>
      <c r="E756" s="2"/>
      <c r="F756" s="2"/>
    </row>
    <row r="757">
      <c r="C757" s="1"/>
      <c r="E757" s="2"/>
      <c r="F757" s="2"/>
    </row>
    <row r="758">
      <c r="C758" s="1"/>
      <c r="E758" s="2"/>
      <c r="F758" s="2"/>
    </row>
    <row r="759">
      <c r="C759" s="1"/>
      <c r="E759" s="2"/>
      <c r="F759" s="2"/>
    </row>
    <row r="760">
      <c r="C760" s="1"/>
      <c r="E760" s="2"/>
      <c r="F760" s="2"/>
    </row>
    <row r="761">
      <c r="C761" s="1"/>
      <c r="E761" s="2"/>
      <c r="F761" s="2"/>
    </row>
    <row r="762">
      <c r="C762" s="1"/>
      <c r="E762" s="2"/>
      <c r="F762" s="2"/>
    </row>
    <row r="763">
      <c r="C763" s="1"/>
      <c r="E763" s="2"/>
      <c r="F763" s="2"/>
    </row>
    <row r="764">
      <c r="C764" s="1"/>
      <c r="E764" s="2"/>
      <c r="F764" s="2"/>
    </row>
    <row r="765">
      <c r="C765" s="1"/>
      <c r="E765" s="2"/>
      <c r="F765" s="2"/>
    </row>
    <row r="766">
      <c r="C766" s="1"/>
      <c r="E766" s="2"/>
      <c r="F766" s="2"/>
    </row>
    <row r="767">
      <c r="C767" s="1"/>
      <c r="E767" s="2"/>
      <c r="F767" s="2"/>
    </row>
    <row r="768">
      <c r="C768" s="1"/>
      <c r="E768" s="2"/>
      <c r="F768" s="2"/>
    </row>
    <row r="769">
      <c r="C769" s="1"/>
      <c r="E769" s="2"/>
      <c r="F769" s="2"/>
    </row>
    <row r="770">
      <c r="C770" s="1"/>
      <c r="E770" s="2"/>
      <c r="F770" s="2"/>
    </row>
    <row r="771">
      <c r="C771" s="1"/>
      <c r="E771" s="2"/>
      <c r="F771" s="2"/>
    </row>
    <row r="772">
      <c r="C772" s="1"/>
      <c r="E772" s="2"/>
      <c r="F772" s="2"/>
    </row>
    <row r="773">
      <c r="C773" s="1"/>
      <c r="E773" s="2"/>
      <c r="F773" s="2"/>
    </row>
    <row r="774">
      <c r="C774" s="1"/>
      <c r="E774" s="2"/>
      <c r="F774" s="2"/>
    </row>
    <row r="775">
      <c r="C775" s="1"/>
      <c r="E775" s="2"/>
      <c r="F775" s="2"/>
    </row>
    <row r="776">
      <c r="C776" s="1"/>
      <c r="E776" s="2"/>
      <c r="F776" s="2"/>
    </row>
    <row r="777">
      <c r="C777" s="1"/>
      <c r="E777" s="2"/>
      <c r="F777" s="2"/>
    </row>
    <row r="778">
      <c r="C778" s="1"/>
      <c r="E778" s="2"/>
      <c r="F778" s="2"/>
    </row>
    <row r="779">
      <c r="C779" s="1"/>
      <c r="E779" s="2"/>
      <c r="F779" s="2"/>
    </row>
    <row r="780">
      <c r="C780" s="1"/>
      <c r="E780" s="2"/>
      <c r="F780" s="2"/>
    </row>
    <row r="781">
      <c r="C781" s="1"/>
      <c r="E781" s="2"/>
      <c r="F781" s="2"/>
    </row>
    <row r="782">
      <c r="C782" s="1"/>
      <c r="E782" s="2"/>
      <c r="F782" s="2"/>
    </row>
    <row r="783">
      <c r="C783" s="1"/>
      <c r="E783" s="2"/>
      <c r="F783" s="2"/>
    </row>
    <row r="784">
      <c r="C784" s="1"/>
      <c r="E784" s="2"/>
      <c r="F784" s="2"/>
    </row>
    <row r="785">
      <c r="C785" s="1"/>
      <c r="E785" s="2"/>
      <c r="F785" s="2"/>
    </row>
    <row r="786">
      <c r="C786" s="1"/>
      <c r="E786" s="2"/>
      <c r="F786" s="2"/>
    </row>
    <row r="787">
      <c r="C787" s="1"/>
      <c r="E787" s="2"/>
      <c r="F787" s="2"/>
    </row>
    <row r="788">
      <c r="C788" s="1"/>
      <c r="E788" s="2"/>
      <c r="F788" s="2"/>
    </row>
    <row r="789">
      <c r="C789" s="1"/>
      <c r="E789" s="2"/>
      <c r="F789" s="2"/>
    </row>
    <row r="790">
      <c r="C790" s="1"/>
      <c r="E790" s="2"/>
      <c r="F790" s="2"/>
    </row>
    <row r="791">
      <c r="C791" s="1"/>
      <c r="E791" s="2"/>
      <c r="F791" s="2"/>
    </row>
    <row r="792">
      <c r="C792" s="1"/>
      <c r="E792" s="2"/>
      <c r="F792" s="2"/>
    </row>
    <row r="793">
      <c r="C793" s="1"/>
      <c r="E793" s="2"/>
      <c r="F793" s="2"/>
    </row>
    <row r="794">
      <c r="C794" s="1"/>
      <c r="E794" s="2"/>
      <c r="F794" s="2"/>
    </row>
    <row r="795">
      <c r="C795" s="1"/>
      <c r="E795" s="2"/>
      <c r="F795" s="2"/>
    </row>
    <row r="796">
      <c r="C796" s="1"/>
      <c r="E796" s="2"/>
      <c r="F796" s="2"/>
    </row>
    <row r="797">
      <c r="C797" s="1"/>
      <c r="E797" s="2"/>
      <c r="F797" s="2"/>
    </row>
    <row r="798">
      <c r="C798" s="1"/>
      <c r="E798" s="2"/>
      <c r="F798" s="2"/>
    </row>
    <row r="799">
      <c r="C799" s="1"/>
      <c r="E799" s="2"/>
      <c r="F799" s="2"/>
    </row>
    <row r="800">
      <c r="C800" s="1"/>
      <c r="E800" s="2"/>
      <c r="F800" s="2"/>
    </row>
    <row r="801">
      <c r="C801" s="1"/>
      <c r="E801" s="2"/>
      <c r="F801" s="2"/>
    </row>
    <row r="802">
      <c r="C802" s="1"/>
      <c r="E802" s="2"/>
      <c r="F802" s="2"/>
    </row>
    <row r="803">
      <c r="C803" s="1"/>
      <c r="E803" s="2"/>
      <c r="F803" s="2"/>
    </row>
    <row r="804">
      <c r="C804" s="1"/>
      <c r="E804" s="2"/>
      <c r="F804" s="2"/>
    </row>
    <row r="805">
      <c r="C805" s="1"/>
      <c r="E805" s="2"/>
      <c r="F805" s="2"/>
    </row>
    <row r="806">
      <c r="C806" s="1"/>
      <c r="E806" s="2"/>
      <c r="F806" s="2"/>
    </row>
    <row r="807">
      <c r="C807" s="1"/>
      <c r="E807" s="2"/>
      <c r="F807" s="2"/>
    </row>
    <row r="808">
      <c r="C808" s="1"/>
      <c r="E808" s="2"/>
      <c r="F808" s="2"/>
    </row>
    <row r="809">
      <c r="C809" s="1"/>
      <c r="E809" s="2"/>
      <c r="F809" s="2"/>
    </row>
    <row r="810">
      <c r="C810" s="1"/>
      <c r="E810" s="2"/>
      <c r="F810" s="2"/>
    </row>
    <row r="811">
      <c r="C811" s="1"/>
      <c r="E811" s="2"/>
      <c r="F811" s="2"/>
    </row>
    <row r="812">
      <c r="C812" s="1"/>
      <c r="E812" s="2"/>
      <c r="F812" s="2"/>
    </row>
    <row r="813">
      <c r="C813" s="1"/>
      <c r="E813" s="2"/>
      <c r="F813" s="2"/>
    </row>
    <row r="814">
      <c r="C814" s="1"/>
      <c r="E814" s="2"/>
      <c r="F814" s="2"/>
    </row>
    <row r="815">
      <c r="C815" s="1"/>
      <c r="E815" s="2"/>
      <c r="F815" s="2"/>
    </row>
    <row r="816">
      <c r="C816" s="1"/>
      <c r="E816" s="2"/>
      <c r="F816" s="2"/>
    </row>
    <row r="817">
      <c r="C817" s="1"/>
      <c r="E817" s="2"/>
      <c r="F817" s="2"/>
    </row>
    <row r="818">
      <c r="C818" s="1"/>
      <c r="E818" s="2"/>
      <c r="F818" s="2"/>
    </row>
    <row r="819">
      <c r="C819" s="1"/>
      <c r="E819" s="2"/>
      <c r="F819" s="2"/>
    </row>
    <row r="820">
      <c r="C820" s="1"/>
      <c r="E820" s="2"/>
      <c r="F820" s="2"/>
    </row>
    <row r="821">
      <c r="C821" s="1"/>
      <c r="E821" s="2"/>
      <c r="F821" s="2"/>
    </row>
    <row r="822">
      <c r="C822" s="1"/>
      <c r="E822" s="2"/>
      <c r="F822" s="2"/>
    </row>
    <row r="823">
      <c r="C823" s="1"/>
      <c r="E823" s="2"/>
      <c r="F823" s="2"/>
    </row>
    <row r="824">
      <c r="C824" s="1"/>
      <c r="E824" s="2"/>
      <c r="F824" s="2"/>
    </row>
    <row r="825">
      <c r="C825" s="1"/>
      <c r="E825" s="2"/>
      <c r="F825" s="2"/>
    </row>
    <row r="826">
      <c r="C826" s="1"/>
      <c r="E826" s="2"/>
      <c r="F826" s="2"/>
    </row>
    <row r="827">
      <c r="C827" s="1"/>
      <c r="E827" s="2"/>
      <c r="F827" s="2"/>
    </row>
    <row r="828">
      <c r="C828" s="1"/>
      <c r="E828" s="2"/>
      <c r="F828" s="2"/>
    </row>
    <row r="829">
      <c r="C829" s="1"/>
      <c r="E829" s="2"/>
      <c r="F829" s="2"/>
    </row>
    <row r="830">
      <c r="C830" s="1"/>
      <c r="E830" s="2"/>
      <c r="F830" s="2"/>
    </row>
    <row r="831">
      <c r="C831" s="1"/>
      <c r="E831" s="2"/>
      <c r="F831" s="2"/>
    </row>
    <row r="832">
      <c r="C832" s="1"/>
      <c r="E832" s="2"/>
      <c r="F832" s="2"/>
    </row>
    <row r="833">
      <c r="C833" s="1"/>
      <c r="E833" s="2"/>
      <c r="F833" s="2"/>
    </row>
    <row r="834">
      <c r="C834" s="1"/>
      <c r="E834" s="2"/>
      <c r="F834" s="2"/>
    </row>
    <row r="835">
      <c r="C835" s="1"/>
      <c r="E835" s="2"/>
      <c r="F835" s="2"/>
    </row>
    <row r="836">
      <c r="C836" s="1"/>
      <c r="E836" s="2"/>
      <c r="F836" s="2"/>
    </row>
    <row r="837">
      <c r="C837" s="1"/>
      <c r="E837" s="2"/>
      <c r="F837" s="2"/>
    </row>
    <row r="838">
      <c r="C838" s="1"/>
      <c r="E838" s="2"/>
      <c r="F838" s="2"/>
    </row>
    <row r="839">
      <c r="C839" s="1"/>
      <c r="E839" s="2"/>
      <c r="F839" s="2"/>
    </row>
    <row r="840">
      <c r="C840" s="1"/>
      <c r="E840" s="2"/>
      <c r="F840" s="2"/>
    </row>
    <row r="841">
      <c r="C841" s="1"/>
      <c r="E841" s="2"/>
      <c r="F841" s="2"/>
    </row>
    <row r="842">
      <c r="C842" s="1"/>
      <c r="E842" s="2"/>
      <c r="F842" s="2"/>
    </row>
    <row r="843">
      <c r="C843" s="1"/>
      <c r="E843" s="2"/>
      <c r="F843" s="2"/>
    </row>
    <row r="844">
      <c r="C844" s="1"/>
      <c r="E844" s="2"/>
      <c r="F844" s="2"/>
    </row>
    <row r="845">
      <c r="C845" s="1"/>
      <c r="E845" s="2"/>
      <c r="F845" s="2"/>
    </row>
    <row r="846">
      <c r="C846" s="1"/>
      <c r="E846" s="2"/>
      <c r="F846" s="2"/>
    </row>
    <row r="847">
      <c r="C847" s="1"/>
      <c r="E847" s="2"/>
      <c r="F847" s="2"/>
    </row>
    <row r="848">
      <c r="C848" s="1"/>
      <c r="E848" s="2"/>
      <c r="F848" s="2"/>
    </row>
    <row r="849">
      <c r="C849" s="1"/>
      <c r="E849" s="2"/>
      <c r="F849" s="2"/>
    </row>
    <row r="850">
      <c r="C850" s="1"/>
      <c r="E850" s="2"/>
      <c r="F850" s="2"/>
    </row>
    <row r="851">
      <c r="C851" s="1"/>
      <c r="E851" s="2"/>
      <c r="F851" s="2"/>
    </row>
    <row r="852">
      <c r="C852" s="1"/>
      <c r="E852" s="2"/>
      <c r="F852" s="2"/>
    </row>
    <row r="853">
      <c r="C853" s="1"/>
      <c r="E853" s="2"/>
      <c r="F853" s="2"/>
    </row>
    <row r="854">
      <c r="C854" s="1"/>
      <c r="E854" s="2"/>
      <c r="F854" s="2"/>
    </row>
    <row r="855">
      <c r="C855" s="1"/>
      <c r="E855" s="2"/>
      <c r="F855" s="2"/>
    </row>
    <row r="856">
      <c r="C856" s="1"/>
      <c r="E856" s="2"/>
      <c r="F856" s="2"/>
    </row>
    <row r="857">
      <c r="C857" s="1"/>
      <c r="E857" s="2"/>
      <c r="F857" s="2"/>
    </row>
    <row r="858">
      <c r="C858" s="1"/>
      <c r="E858" s="2"/>
      <c r="F858" s="2"/>
    </row>
    <row r="859">
      <c r="C859" s="1"/>
      <c r="E859" s="2"/>
      <c r="F859" s="2"/>
    </row>
    <row r="860">
      <c r="C860" s="1"/>
      <c r="E860" s="2"/>
      <c r="F860" s="2"/>
    </row>
    <row r="861">
      <c r="C861" s="1"/>
      <c r="E861" s="2"/>
      <c r="F861" s="2"/>
    </row>
    <row r="862">
      <c r="C862" s="1"/>
      <c r="E862" s="2"/>
      <c r="F862" s="2"/>
    </row>
    <row r="863">
      <c r="C863" s="1"/>
      <c r="E863" s="2"/>
      <c r="F863" s="2"/>
    </row>
    <row r="864">
      <c r="C864" s="1"/>
      <c r="E864" s="2"/>
      <c r="F864" s="2"/>
    </row>
    <row r="865">
      <c r="C865" s="1"/>
      <c r="E865" s="2"/>
      <c r="F865" s="2"/>
    </row>
    <row r="866">
      <c r="C866" s="1"/>
      <c r="E866" s="2"/>
      <c r="F866" s="2"/>
    </row>
    <row r="867">
      <c r="C867" s="1"/>
      <c r="E867" s="2"/>
      <c r="F867" s="2"/>
    </row>
    <row r="868">
      <c r="C868" s="1"/>
      <c r="E868" s="2"/>
      <c r="F868" s="2"/>
    </row>
    <row r="869">
      <c r="C869" s="1"/>
      <c r="E869" s="2"/>
      <c r="F869" s="2"/>
    </row>
    <row r="870">
      <c r="C870" s="1"/>
      <c r="E870" s="2"/>
      <c r="F870" s="2"/>
    </row>
    <row r="871">
      <c r="C871" s="1"/>
      <c r="E871" s="2"/>
      <c r="F871" s="2"/>
    </row>
    <row r="872">
      <c r="C872" s="1"/>
      <c r="E872" s="2"/>
      <c r="F872" s="2"/>
    </row>
    <row r="873">
      <c r="C873" s="1"/>
      <c r="E873" s="2"/>
      <c r="F873" s="2"/>
    </row>
    <row r="874">
      <c r="C874" s="1"/>
      <c r="E874" s="2"/>
      <c r="F874" s="2"/>
    </row>
    <row r="875">
      <c r="C875" s="1"/>
      <c r="E875" s="2"/>
      <c r="F875" s="2"/>
    </row>
    <row r="876">
      <c r="C876" s="1"/>
      <c r="E876" s="2"/>
      <c r="F876" s="2"/>
    </row>
    <row r="877">
      <c r="C877" s="1"/>
      <c r="E877" s="2"/>
      <c r="F877" s="2"/>
    </row>
    <row r="878">
      <c r="C878" s="1"/>
      <c r="E878" s="2"/>
      <c r="F878" s="2"/>
    </row>
    <row r="879">
      <c r="C879" s="1"/>
      <c r="E879" s="2"/>
      <c r="F879" s="2"/>
    </row>
    <row r="880">
      <c r="C880" s="1"/>
      <c r="E880" s="2"/>
      <c r="F880" s="2"/>
    </row>
    <row r="881">
      <c r="C881" s="1"/>
      <c r="E881" s="2"/>
      <c r="F881" s="2"/>
    </row>
    <row r="882">
      <c r="C882" s="1"/>
      <c r="E882" s="2"/>
      <c r="F882" s="2"/>
    </row>
    <row r="883">
      <c r="C883" s="1"/>
      <c r="E883" s="2"/>
      <c r="F883" s="2"/>
    </row>
    <row r="884">
      <c r="C884" s="1"/>
      <c r="E884" s="2"/>
      <c r="F884" s="2"/>
    </row>
    <row r="885">
      <c r="C885" s="1"/>
      <c r="E885" s="2"/>
      <c r="F885" s="2"/>
    </row>
    <row r="886">
      <c r="C886" s="1"/>
      <c r="E886" s="2"/>
      <c r="F886" s="2"/>
    </row>
    <row r="887">
      <c r="C887" s="1"/>
      <c r="E887" s="2"/>
      <c r="F887" s="2"/>
    </row>
    <row r="888">
      <c r="C888" s="1"/>
      <c r="E888" s="2"/>
      <c r="F888" s="2"/>
    </row>
    <row r="889">
      <c r="C889" s="1"/>
      <c r="E889" s="2"/>
      <c r="F889" s="2"/>
    </row>
    <row r="890">
      <c r="C890" s="1"/>
      <c r="E890" s="2"/>
      <c r="F890" s="2"/>
    </row>
    <row r="891">
      <c r="C891" s="1"/>
      <c r="E891" s="2"/>
      <c r="F891" s="2"/>
    </row>
    <row r="892">
      <c r="C892" s="1"/>
      <c r="E892" s="2"/>
      <c r="F892" s="2"/>
    </row>
    <row r="893">
      <c r="C893" s="1"/>
      <c r="E893" s="2"/>
      <c r="F893" s="2"/>
    </row>
    <row r="894">
      <c r="C894" s="1"/>
      <c r="E894" s="2"/>
      <c r="F894" s="2"/>
    </row>
    <row r="895">
      <c r="C895" s="1"/>
      <c r="E895" s="2"/>
      <c r="F895" s="2"/>
    </row>
    <row r="896">
      <c r="C896" s="1"/>
      <c r="E896" s="2"/>
      <c r="F896" s="2"/>
    </row>
    <row r="897">
      <c r="C897" s="1"/>
      <c r="E897" s="2"/>
      <c r="F897" s="2"/>
    </row>
    <row r="898">
      <c r="C898" s="1"/>
      <c r="E898" s="2"/>
      <c r="F898" s="2"/>
    </row>
    <row r="899">
      <c r="C899" s="1"/>
      <c r="E899" s="2"/>
      <c r="F899" s="2"/>
    </row>
    <row r="900">
      <c r="C900" s="1"/>
      <c r="E900" s="2"/>
      <c r="F900" s="2"/>
    </row>
    <row r="901">
      <c r="C901" s="1"/>
      <c r="E901" s="2"/>
      <c r="F901" s="2"/>
    </row>
    <row r="902">
      <c r="C902" s="1"/>
      <c r="E902" s="2"/>
      <c r="F902" s="2"/>
    </row>
    <row r="903">
      <c r="C903" s="1"/>
      <c r="E903" s="2"/>
      <c r="F903" s="2"/>
    </row>
    <row r="904">
      <c r="C904" s="1"/>
      <c r="E904" s="2"/>
      <c r="F904" s="2"/>
    </row>
    <row r="905">
      <c r="C905" s="1"/>
      <c r="E905" s="2"/>
      <c r="F905" s="2"/>
    </row>
    <row r="906">
      <c r="C906" s="1"/>
      <c r="E906" s="2"/>
      <c r="F906" s="2"/>
    </row>
    <row r="907">
      <c r="C907" s="1"/>
      <c r="E907" s="2"/>
      <c r="F907" s="2"/>
    </row>
    <row r="908">
      <c r="C908" s="1"/>
      <c r="E908" s="2"/>
      <c r="F908" s="2"/>
    </row>
    <row r="909">
      <c r="C909" s="1"/>
      <c r="E909" s="2"/>
      <c r="F909" s="2"/>
    </row>
    <row r="910">
      <c r="C910" s="1"/>
      <c r="E910" s="2"/>
      <c r="F910" s="2"/>
    </row>
    <row r="911">
      <c r="C911" s="1"/>
      <c r="E911" s="2"/>
      <c r="F911" s="2"/>
    </row>
    <row r="912">
      <c r="C912" s="1"/>
      <c r="E912" s="2"/>
      <c r="F912" s="2"/>
    </row>
    <row r="913">
      <c r="C913" s="1"/>
      <c r="E913" s="2"/>
      <c r="F913" s="2"/>
    </row>
    <row r="914">
      <c r="C914" s="1"/>
      <c r="E914" s="2"/>
      <c r="F914" s="2"/>
    </row>
    <row r="915">
      <c r="C915" s="1"/>
      <c r="E915" s="2"/>
      <c r="F915" s="2"/>
    </row>
    <row r="916">
      <c r="C916" s="1"/>
      <c r="E916" s="2"/>
      <c r="F916" s="2"/>
    </row>
    <row r="917">
      <c r="C917" s="1"/>
      <c r="E917" s="2"/>
      <c r="F917" s="2"/>
    </row>
    <row r="918">
      <c r="C918" s="1"/>
      <c r="E918" s="2"/>
      <c r="F918" s="2"/>
    </row>
    <row r="919">
      <c r="C919" s="1"/>
      <c r="E919" s="2"/>
      <c r="F919" s="2"/>
    </row>
    <row r="920">
      <c r="C920" s="1"/>
      <c r="E920" s="2"/>
      <c r="F920" s="2"/>
    </row>
    <row r="921">
      <c r="C921" s="1"/>
      <c r="E921" s="2"/>
      <c r="F921" s="2"/>
    </row>
    <row r="922">
      <c r="C922" s="1"/>
      <c r="E922" s="2"/>
      <c r="F922" s="2"/>
    </row>
    <row r="923">
      <c r="C923" s="1"/>
      <c r="E923" s="2"/>
      <c r="F923" s="2"/>
    </row>
    <row r="924">
      <c r="C924" s="1"/>
      <c r="E924" s="2"/>
      <c r="F924" s="2"/>
    </row>
    <row r="925">
      <c r="C925" s="1"/>
      <c r="E925" s="2"/>
      <c r="F925" s="2"/>
    </row>
    <row r="926">
      <c r="C926" s="1"/>
      <c r="E926" s="2"/>
      <c r="F926" s="2"/>
    </row>
    <row r="927">
      <c r="C927" s="1"/>
      <c r="E927" s="2"/>
      <c r="F927" s="2"/>
    </row>
    <row r="928">
      <c r="C928" s="1"/>
      <c r="E928" s="2"/>
      <c r="F928" s="2"/>
    </row>
    <row r="929">
      <c r="C929" s="1"/>
      <c r="E929" s="2"/>
      <c r="F929" s="2"/>
    </row>
    <row r="930">
      <c r="C930" s="1"/>
      <c r="E930" s="2"/>
      <c r="F930" s="2"/>
    </row>
    <row r="931">
      <c r="C931" s="1"/>
      <c r="E931" s="2"/>
      <c r="F931" s="2"/>
    </row>
    <row r="932">
      <c r="C932" s="1"/>
      <c r="E932" s="2"/>
      <c r="F932" s="2"/>
    </row>
    <row r="933">
      <c r="C933" s="1"/>
      <c r="E933" s="2"/>
      <c r="F933" s="2"/>
    </row>
    <row r="934">
      <c r="C934" s="1"/>
      <c r="E934" s="2"/>
      <c r="F934" s="2"/>
    </row>
    <row r="935">
      <c r="C935" s="1"/>
      <c r="E935" s="2"/>
      <c r="F935" s="2"/>
    </row>
    <row r="936">
      <c r="C936" s="1"/>
      <c r="E936" s="2"/>
      <c r="F936" s="2"/>
    </row>
    <row r="937">
      <c r="C937" s="1"/>
      <c r="E937" s="2"/>
      <c r="F937" s="2"/>
    </row>
    <row r="938">
      <c r="C938" s="1"/>
      <c r="E938" s="2"/>
      <c r="F938" s="2"/>
    </row>
    <row r="939">
      <c r="C939" s="1"/>
      <c r="E939" s="2"/>
      <c r="F939" s="2"/>
    </row>
    <row r="940">
      <c r="C940" s="1"/>
      <c r="E940" s="2"/>
      <c r="F940" s="2"/>
    </row>
    <row r="941">
      <c r="C941" s="1"/>
      <c r="E941" s="2"/>
      <c r="F941" s="2"/>
    </row>
    <row r="942">
      <c r="C942" s="1"/>
      <c r="E942" s="2"/>
      <c r="F942" s="2"/>
    </row>
    <row r="943">
      <c r="C943" s="1"/>
      <c r="E943" s="2"/>
      <c r="F943" s="2"/>
    </row>
    <row r="944">
      <c r="C944" s="1"/>
      <c r="E944" s="2"/>
      <c r="F944" s="2"/>
    </row>
    <row r="945">
      <c r="C945" s="1"/>
      <c r="E945" s="2"/>
      <c r="F945" s="2"/>
    </row>
    <row r="946">
      <c r="C946" s="1"/>
      <c r="E946" s="2"/>
      <c r="F946" s="2"/>
    </row>
    <row r="947">
      <c r="C947" s="1"/>
      <c r="E947" s="2"/>
      <c r="F947" s="2"/>
    </row>
    <row r="948">
      <c r="C948" s="1"/>
      <c r="E948" s="2"/>
      <c r="F948" s="2"/>
    </row>
    <row r="949">
      <c r="C949" s="1"/>
      <c r="E949" s="2"/>
      <c r="F949" s="2"/>
    </row>
    <row r="950">
      <c r="C950" s="1"/>
      <c r="E950" s="2"/>
      <c r="F950" s="2"/>
    </row>
    <row r="951">
      <c r="C951" s="1"/>
      <c r="E951" s="2"/>
      <c r="F951" s="2"/>
    </row>
    <row r="952">
      <c r="C952" s="1"/>
      <c r="E952" s="2"/>
      <c r="F952" s="2"/>
    </row>
    <row r="953">
      <c r="C953" s="1"/>
      <c r="E953" s="2"/>
      <c r="F953" s="2"/>
    </row>
    <row r="954">
      <c r="C954" s="1"/>
      <c r="E954" s="2"/>
      <c r="F954" s="2"/>
    </row>
    <row r="955">
      <c r="C955" s="1"/>
      <c r="E955" s="2"/>
      <c r="F955" s="2"/>
    </row>
    <row r="956">
      <c r="C956" s="1"/>
      <c r="E956" s="2"/>
      <c r="F956" s="2"/>
    </row>
    <row r="957">
      <c r="C957" s="1"/>
      <c r="E957" s="2"/>
      <c r="F957" s="2"/>
    </row>
    <row r="958">
      <c r="C958" s="1"/>
      <c r="E958" s="2"/>
      <c r="F958" s="2"/>
    </row>
    <row r="959">
      <c r="C959" s="1"/>
      <c r="E959" s="2"/>
      <c r="F959" s="2"/>
    </row>
    <row r="960">
      <c r="C960" s="1"/>
      <c r="E960" s="2"/>
      <c r="F960" s="2"/>
    </row>
    <row r="961">
      <c r="C961" s="1"/>
      <c r="E961" s="2"/>
      <c r="F961" s="2"/>
    </row>
    <row r="962">
      <c r="C962" s="1"/>
      <c r="E962" s="2"/>
      <c r="F962" s="2"/>
    </row>
    <row r="963">
      <c r="C963" s="1"/>
      <c r="E963" s="2"/>
      <c r="F963" s="2"/>
    </row>
    <row r="964">
      <c r="C964" s="1"/>
      <c r="E964" s="2"/>
      <c r="F964" s="2"/>
    </row>
    <row r="965">
      <c r="C965" s="1"/>
      <c r="E965" s="2"/>
      <c r="F965" s="2"/>
    </row>
    <row r="966">
      <c r="C966" s="1"/>
      <c r="E966" s="2"/>
      <c r="F966" s="2"/>
    </row>
    <row r="967">
      <c r="C967" s="1"/>
      <c r="E967" s="2"/>
      <c r="F967" s="2"/>
    </row>
    <row r="968">
      <c r="C968" s="1"/>
      <c r="E968" s="2"/>
      <c r="F968" s="2"/>
    </row>
    <row r="969">
      <c r="C969" s="1"/>
      <c r="E969" s="2"/>
      <c r="F969" s="2"/>
    </row>
    <row r="970">
      <c r="C970" s="1"/>
      <c r="E970" s="2"/>
      <c r="F970" s="2"/>
    </row>
    <row r="971">
      <c r="C971" s="1"/>
      <c r="E971" s="2"/>
      <c r="F971" s="2"/>
    </row>
    <row r="972">
      <c r="C972" s="1"/>
      <c r="E972" s="2"/>
      <c r="F972" s="2"/>
    </row>
    <row r="973">
      <c r="C973" s="1"/>
      <c r="E973" s="2"/>
      <c r="F973" s="2"/>
    </row>
    <row r="974">
      <c r="C974" s="1"/>
      <c r="E974" s="2"/>
      <c r="F974" s="2"/>
    </row>
    <row r="975">
      <c r="C975" s="1"/>
      <c r="E975" s="2"/>
      <c r="F975" s="2"/>
    </row>
  </sheetData>
  <drawing r:id="rId1"/>
</worksheet>
</file>